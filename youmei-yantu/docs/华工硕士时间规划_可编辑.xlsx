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29e183bf4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时间线" sheetId="1" r:id="R807fd2c2d3b747a5"/>
    <x:sheet xmlns:r="http://schemas.openxmlformats.org/officeDocument/2006/relationships" name="节点与说明" sheetId="2" r:id="R57569fd9032248d2"/>
    <x:sheet xmlns:r="http://schemas.openxmlformats.org/officeDocument/2006/relationships" name="年度机会月历" sheetId="3" r:id="R758ac3506a62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;;;"/>
  </x:numFmts>
  <x:fonts count="10">
    <x:font>
      <x:sz val="11"/>
      <x:name val="Carlito"/>
    </x:font>
    <x:font>
      <x:sz val="10"/>
      <x:color rgb="FF26354C"/>
      <x:name val="Microsoft YaHei"/>
    </x:font>
    <x:font>
      <x:b/>
      <x:sz val="16"/>
      <x:color rgb="FF172642"/>
      <x:name val="Microsoft YaHei"/>
    </x:font>
    <x:font>
      <x:b/>
      <x:sz val="10"/>
      <x:color rgb="FFFFFFFF"/>
      <x:name val="Microsoft YaHei"/>
    </x:font>
    <x:font>
      <x:b/>
      <x:sz val="10"/>
      <x:color rgb="FF3155A6"/>
      <x:name val="Microsoft YaHei"/>
    </x:font>
    <x:font>
      <x:b/>
      <x:sz val="10"/>
      <x:color rgb="FF287B63"/>
      <x:name val="Microsoft YaHei"/>
    </x:font>
    <x:font>
      <x:b/>
      <x:sz val="10"/>
      <x:color rgb="FFA76D23"/>
      <x:name val="Microsoft YaHei"/>
    </x:font>
    <x:font>
      <x:b/>
      <x:sz val="10"/>
      <x:color rgb="FF7454A0"/>
      <x:name val="Microsoft YaHei"/>
    </x:font>
    <x:font>
      <x:b/>
      <x:sz val="10"/>
      <x:color rgb="FFB4516B"/>
      <x:name val="Microsoft YaHei"/>
    </x:font>
    <x:font>
      <x:b/>
      <x:sz val="10"/>
      <x:color rgb="FF26354C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33956"/>
      </x:patternFill>
    </x:fill>
    <x:fill>
      <x:patternFill patternType="solid">
        <x:fgColor rgb="FFE7EDF9"/>
      </x:patternFill>
    </x:fill>
    <x:fill>
      <x:patternFill patternType="solid">
        <x:fgColor rgb="FFE5F1EC"/>
      </x:patternFill>
    </x:fill>
    <x:fill>
      <x:patternFill patternType="solid">
        <x:fgColor rgb="FFFCF0DA"/>
      </x:patternFill>
    </x:fill>
    <x:fill>
      <x:patternFill patternType="solid">
        <x:fgColor rgb="FFEEE8F7"/>
      </x:patternFill>
    </x:fill>
    <x:fill>
      <x:patternFill patternType="solid">
        <x:fgColor rgb="FFF8E8ED"/>
      </x:patternFill>
    </x:fill>
    <x:fill>
      <x:patternFill patternType="solid">
        <x:fgColor rgb="FFFFF9E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3"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7EDF9"/>
        </x:patternFill>
      </x:fill>
    </x:dxf>
    <x:dxf>
      <x:fill>
        <x:patternFill patternType="solid">
          <x:bgColor rgb="FF3155A6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E5F1EC"/>
        </x:patternFill>
      </x:fill>
    </x:dxf>
    <x:dxf>
      <x:fill>
        <x:patternFill patternType="solid">
          <x:bgColor rgb="FF287B63"/>
        </x:patternFill>
      </x:fill>
    </x:dxf>
    <x:dxf>
      <x:fill>
        <x:patternFill patternType="solid">
          <x:bgColor rgb="FFFCF0DA"/>
        </x:patternFill>
      </x:fill>
    </x:dxf>
    <x:dxf>
      <x:fill>
        <x:patternFill patternType="solid">
          <x:bgColor rgb="FFA76D23"/>
        </x:patternFill>
      </x:fill>
    </x:dxf>
    <x:dxf>
      <x:fill>
        <x:patternFill patternType="solid">
          <x:bgColor rgb="FFFCF0DA"/>
        </x:patternFill>
      </x:fill>
    </x:dxf>
    <x:dxf>
      <x:fill>
        <x:patternFill patternType="solid">
          <x:bgColor rgb="FFA76D23"/>
        </x:patternFill>
      </x:fill>
    </x:dxf>
    <x:dxf>
      <x:fill>
        <x:patternFill patternType="solid">
          <x:bgColor rgb="FFFCF0DA"/>
        </x:patternFill>
      </x:fill>
    </x:dxf>
    <x:dxf>
      <x:fill>
        <x:patternFill patternType="solid">
          <x:bgColor rgb="FFA76D23"/>
        </x:patternFill>
      </x:fill>
    </x:dxf>
    <x:dxf>
      <x:fill>
        <x:patternFill patternType="solid">
          <x:bgColor rgb="FFFCF0DA"/>
        </x:patternFill>
      </x:fill>
    </x:dxf>
    <x:dxf>
      <x:fill>
        <x:patternFill patternType="solid">
          <x:bgColor rgb="FFA76D23"/>
        </x:patternFill>
      </x:fill>
    </x:dxf>
    <x:dxf>
      <x:fill>
        <x:patternFill patternType="solid">
          <x:bgColor rgb="FFFCF0DA"/>
        </x:patternFill>
      </x:fill>
    </x:dxf>
    <x:dxf>
      <x:fill>
        <x:patternFill patternType="solid">
          <x:bgColor rgb="FFA76D23"/>
        </x:patternFill>
      </x:fill>
    </x:dxf>
    <x:dxf>
      <x:fill>
        <x:patternFill patternType="solid">
          <x:bgColor rgb="FFFCF0DA"/>
        </x:patternFill>
      </x:fill>
    </x:dxf>
    <x:dxf>
      <x:fill>
        <x:patternFill patternType="solid">
          <x:bgColor rgb="FFA76D23"/>
        </x:patternFill>
      </x:fill>
    </x:dxf>
    <x:dxf>
      <x:fill>
        <x:patternFill patternType="solid">
          <x:bgColor rgb="FFEEE8F7"/>
        </x:patternFill>
      </x:fill>
    </x:dxf>
    <x:dxf>
      <x:fill>
        <x:patternFill patternType="solid">
          <x:bgColor rgb="FF7454A0"/>
        </x:patternFill>
      </x:fill>
    </x:dxf>
    <x:dxf>
      <x:fill>
        <x:patternFill patternType="solid">
          <x:bgColor rgb="FFEEE8F7"/>
        </x:patternFill>
      </x:fill>
    </x:dxf>
    <x:dxf>
      <x:fill>
        <x:patternFill patternType="solid">
          <x:bgColor rgb="FF7454A0"/>
        </x:patternFill>
      </x:fill>
    </x:dxf>
    <x:dxf>
      <x:fill>
        <x:patternFill patternType="solid">
          <x:bgColor rgb="FFEEE8F7"/>
        </x:patternFill>
      </x:fill>
    </x:dxf>
    <x:dxf>
      <x:fill>
        <x:patternFill patternType="solid">
          <x:bgColor rgb="FF7454A0"/>
        </x:patternFill>
      </x:fill>
    </x:dxf>
    <x:dxf>
      <x:fill>
        <x:patternFill patternType="solid">
          <x:bgColor rgb="FFF8E8ED"/>
        </x:patternFill>
      </x:fill>
    </x:dxf>
    <x:dxf>
      <x:fill>
        <x:patternFill patternType="solid">
          <x:bgColor rgb="FFB4516B"/>
        </x:patternFill>
      </x:fill>
    </x:dxf>
    <x:dxf>
      <x:fill>
        <x:patternFill patternType="solid">
          <x:bgColor rgb="FFF8E8ED"/>
        </x:patternFill>
      </x:fill>
    </x:dxf>
    <x:dxf>
      <x:fill>
        <x:patternFill patternType="solid">
          <x:bgColor rgb="FFB4516B"/>
        </x:patternFill>
      </x:fill>
    </x:dxf>
    <x:dxf>
      <x:fill>
        <x:patternFill patternType="solid">
          <x:bgColor rgb="FFF8E8ED"/>
        </x:patternFill>
      </x:fill>
    </x:dxf>
    <x:dxf>
      <x:fill>
        <x:patternFill patternType="solid">
          <x:bgColor rgb="FFB4516B"/>
        </x:patternFill>
      </x:fill>
    </x:dxf>
    <x:dxf>
      <x:fill>
        <x:patternFill patternType="solid">
          <x:bgColor rgb="FFF8E8ED"/>
        </x:patternFill>
      </x:fill>
    </x:dxf>
    <x:dxf>
      <x:fill>
        <x:patternFill patternType="solid">
          <x:bgColor rgb="FFB4516B"/>
        </x:patternFill>
      </x:fill>
    </x:dxf>
    <x:dxf>
      <x:font>
        <x:color rgb="FF236A3C"/>
      </x:font>
      <x:fill>
        <x:patternFill patternType="solid">
          <x:bgColor rgb="FFDDEFE1"/>
        </x:patternFill>
      </x:fill>
    </x:dxf>
    <x:dxf>
      <x:font>
        <x:color rgb="FF795521"/>
      </x:font>
      <x:fill>
        <x:patternFill patternType="solid">
          <x:bgColor rgb="FFF4E7C6"/>
        </x:patternFill>
      </x:fill>
    </x:dxf>
    <x:dxf>
      <x:font>
        <x:color rgb="FF27598D"/>
      </x:font>
      <x:fill>
        <x:patternFill patternType="solid">
          <x:bgColor rgb="FFDCEAF7"/>
        </x:patternFill>
      </x:fill>
    </x:dxf>
    <x:dxf>
      <x:font>
        <x:color rgb="FFFFFFFF"/>
      </x:font>
      <x:fill>
        <x:patternFill patternType="solid">
          <x:bgColor rgb="FF7454A0"/>
        </x:patternFill>
      </x:fill>
    </x:dxf>
    <x:dxf>
      <x:font>
        <x:color rgb="FFFFFFFF"/>
      </x:font>
      <x:fill>
        <x:patternFill patternType="solid">
          <x:bgColor rgb="FFB4516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4346ab7284773" /><Relationship Type="http://schemas.openxmlformats.org/officeDocument/2006/relationships/theme" Target="/xl/theme/theme1.xml" Id="R2c3c9e654e5b45b2" /><Relationship Type="http://schemas.openxmlformats.org/officeDocument/2006/relationships/sharedStrings" Target="/xl/sharedStrings.xml" Id="R5e9553d713874f4f" /><Relationship Type="http://schemas.openxmlformats.org/officeDocument/2006/relationships/worksheet" Target="/xl/worksheets/sheet1.xml" Id="R807fd2c2d3b747a5" /><Relationship Type="http://schemas.openxmlformats.org/officeDocument/2006/relationships/worksheet" Target="/xl/worksheets/sheet2.xml" Id="R57569fd9032248d2" /><Relationship Type="http://schemas.openxmlformats.org/officeDocument/2006/relationships/worksheet" Target="/xl/worksheets/sheet3.xml" Id="R758ac3506a624126" /></Relationships>
</file>

<file path=xl/tables/table1.xml><?xml version="1.0" encoding="utf-8"?>
<x:table xmlns:x="http://schemas.openxmlformats.org/spreadsheetml/2006/main" id="1" name="Milestones" displayName="Milestones" ref="A6:U50" headerRowCount="1" totalsRowCount="0" totalsRowShown="0">
  <x:autoFilter ref="A6:U50"/>
  <x:tableColumns count="21">
    <x:tableColumn id="1" name="编号"/>
    <x:tableColumn id="2" name="类别"/>
    <x:tableColumn id="3" name="节点"/>
    <x:tableColumn id="4" name="时间锚点"/>
    <x:tableColumn id="5" name="开始偏移（月）"/>
    <x:tableColumn id="6" name="结束偏移（月）"/>
    <x:tableColumn id="7" name="提前（月）"/>
    <x:tableColumn id="8" name="进度"/>
    <x:tableColumn id="9" name="优先级"/>
    <x:tableColumn id="10" name="适用范围"/>
    <x:tableColumn id="11" name="时间依据与性质"/>
    <x:tableColumn id="12" name="规则与节点解释"/>
    <x:tableColumn id="13" name="应完成的材料/成果"/>
    <x:tableColumn id="14" name="提前准备建议"/>
    <x:tableColumn id="15" name="入学后开始月"/>
    <x:tableColumn id="16" name="入学后结束月"/>
    <x:tableColumn id="17" name="规划开始"/>
    <x:tableColumn id="18" name="规划结束"/>
    <x:tableColumn id="19" name="准备起点"/>
    <x:tableColumn id="20" name="个人备注"/>
    <x:tableColumn id="21" name="来源/页码（保留依据版本）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40d7103f943e6" /></Relationships>
</file>

<file path=xl/worksheets/sheet1.xml><?xml version="1.0" encoding="utf-8"?>
<x:worksheet xmlns:x="http://schemas.openxmlformats.org/spreadsheetml/2006/main">
  <x:sheetPr>
    <x:tabColor rgb="FF233956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7" hidden="0" customWidth="1"/>
    <x:col min="2" max="2" width="8" hidden="0" customWidth="1"/>
    <x:col min="3" max="3" width="33" hidden="0" customWidth="1"/>
    <x:col min="4" max="4" width="12" hidden="0" customWidth="1"/>
    <x:col min="5" max="5" width="11" hidden="0" customWidth="1"/>
    <x:col min="6" max="6" width="15" hidden="0" customWidth="1"/>
    <x:col min="7" max="7" width="4.599999904632568" hidden="0" customWidth="1"/>
    <x:col min="8" max="8" width="4.599999904632568" hidden="0" customWidth="1"/>
    <x:col min="9" max="9" width="4.599999904632568" hidden="0" customWidth="1"/>
    <x:col min="10" max="10" width="4.599999904632568" hidden="0" customWidth="1"/>
    <x:col min="11" max="11" width="4.599999904632568" hidden="0" customWidth="1"/>
    <x:col min="12" max="12" width="4.599999904632568" hidden="0" customWidth="1"/>
    <x:col min="13" max="13" width="4.599999904632568" hidden="0" customWidth="1"/>
    <x:col min="14" max="14" width="4.599999904632568" hidden="0" customWidth="1"/>
    <x:col min="15" max="15" width="4.599999904632568" hidden="0" customWidth="1"/>
    <x:col min="16" max="16" width="4.599999904632568" hidden="0" customWidth="1"/>
    <x:col min="17" max="17" width="4.599999904632568" hidden="0" customWidth="1"/>
    <x:col min="18" max="18" width="4.599999904632568" hidden="0" customWidth="1"/>
    <x:col min="19" max="19" width="4.599999904632568" hidden="0" customWidth="1"/>
    <x:col min="20" max="20" width="4.599999904632568" hidden="0" customWidth="1"/>
    <x:col min="21" max="21" width="4.599999904632568" hidden="0" customWidth="1"/>
    <x:col min="22" max="22" width="4.599999904632568" hidden="0" customWidth="1"/>
    <x:col min="23" max="23" width="4.599999904632568" hidden="0" customWidth="1"/>
    <x:col min="24" max="24" width="4.599999904632568" hidden="0" customWidth="1"/>
    <x:col min="25" max="25" width="4.599999904632568" hidden="0" customWidth="1"/>
    <x:col min="26" max="26" width="4.599999904632568" hidden="0" customWidth="1"/>
    <x:col min="27" max="27" width="4.599999904632568" hidden="0" customWidth="1"/>
    <x:col min="28" max="28" width="4.599999904632568" hidden="0" customWidth="1"/>
    <x:col min="29" max="29" width="4.599999904632568" hidden="0" customWidth="1"/>
    <x:col min="30" max="30" width="4.599999904632568" hidden="0" customWidth="1"/>
    <x:col min="31" max="31" width="4.599999904632568" hidden="0" customWidth="1"/>
    <x:col min="32" max="32" width="4.599999904632568" hidden="0" customWidth="1"/>
    <x:col min="33" max="33" width="4.599999904632568" hidden="0" customWidth="1"/>
    <x:col min="34" max="34" width="4.599999904632568" hidden="0" customWidth="1"/>
    <x:col min="35" max="35" width="4.599999904632568" hidden="0" customWidth="1"/>
    <x:col min="36" max="36" width="4.599999904632568" hidden="0" customWidth="1"/>
    <x:col min="37" max="37" width="4.599999904632568" hidden="0" customWidth="1"/>
    <x:col min="38" max="38" width="4.599999904632568" hidden="0" customWidth="1"/>
    <x:col min="39" max="39" width="4.599999904632568" hidden="0" customWidth="1"/>
    <x:col min="40" max="40" width="4.599999904632568" hidden="0" customWidth="1"/>
    <x:col min="41" max="41" width="4.599999904632568" hidden="0" customWidth="1"/>
    <x:col min="42" max="42" width="4.599999904632568" hidden="0" customWidth="1"/>
    <x:col min="43" max="43" width="3" hidden="0" customWidth="1"/>
    <x:col min="44" max="44" width="6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</x:row>
    <x:row r="2" ht="27" customHeight="1">
      <x:c r="A2" s="3" t="str">
        <x:v>三年制硕士月度时间规划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</x:row>
    <x:row r="3" ht="27" customHeight="1">
      <x:c r="A3" s="2" t="str">
        <x:v>历届通用。浅色为提前准备，深色为建议执行窗口；精确截止每学年按学院通知更新。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</x:row>
    <x:row r="5" ht="27" customHeight="1">
      <x:c r="A5" s="2" t="str">
        <x:v>入学月份</x:v>
      </x:c>
      <x:c r="B5" s="2"/>
      <x:c r="C5" s="5" t="n">
        <x:v>9</x:v>
      </x:c>
      <x:c r="D5" s="2" t="str">
        <x:v>默认 9 月入学。修改此月数将调整月份标签；培养考核仍以学院安排为准。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</x:row>
    <x:row r="6" ht="27" customHeight="1">
      <x:c r="A6" s="2" t="str">
        <x:v>学制（年）</x:v>
      </x:c>
      <x:c r="B6" s="2"/>
      <x:c r="C6" s="6" t="n">
        <x:v>3</x:v>
      </x:c>
      <x:c r="D6" s="2" t="str">
        <x:v>仅适用于三年制硕士；研一、研二、研三均展示 12 个月。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</x:row>
    <x:row r="7" ht="27" customHeight="1">
      <x:c r="A7" s="2" t="str">
        <x:v>毕业月份</x:v>
      </x:c>
      <x:c r="B7" s="2"/>
      <x:c r="C7" s="5" t="n">
        <x:v>6</x:v>
      </x:c>
      <x:c r="D7" s="2" t="str">
        <x:v>默认研三 6 月毕业。改动后毕业链联动；招聘的自然月份仍需对照年度月历校准。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</x:row>
    <x:row r="8" ht="27" customHeight="1">
      <x:c r="A8" s="2" t="str">
        <x:v>适用类别</x:v>
      </x:c>
      <x:c r="B8" s="2"/>
      <x:c r="C8" s="2" t="str">
        <x:v>学硕 / 专硕对照</x:v>
      </x:c>
      <x:c r="D8" s="2" t="str">
        <x:v>先按学位类型选择适用项；无关实践、证书或竞赛在节点表标为「不适用」。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</x:row>
    <x:row r="9" ht="27" customHeight="1">
      <x:c r="A9" s="2" t="str">
        <x:v>毕业月位置</x:v>
      </x:c>
      <x:c r="B9" s="2"/>
      <x:c r="C9" s="2" t="n">
        <x:f>24+MOD(C7-C5,12)</x:f>
        <x:v>33</x:v>
      </x:c>
      <x:c r="D9" s="2" t="str">
        <x:v>修改「节点与说明」黄色 D:I 输入栏，色带联动。月份偏移 0 表示入学或毕业当月。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</x:row>
    <x:row r="11" ht="27" customHeight="1">
      <x:c r="A11" s="2" t="str">
        <x:v>研究生培养按学年倒排；每年重复的证书、招聘与竞赛报名/考核月份见「年度机会月历」。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</x:row>
    <x:row r="12" ht="34" customHeight="1">
      <x:c r="A12" s="10" t="str">
        <x:v>编号</x:v>
      </x:c>
      <x:c r="B12" s="10" t="str">
        <x:v>类别</x:v>
      </x:c>
      <x:c r="C12" s="10" t="str">
        <x:v>节点</x:v>
      </x:c>
      <x:c r="D12" s="10" t="str">
        <x:v>进度</x:v>
      </x:c>
      <x:c r="E12" s="10" t="str">
        <x:v>提前（月）</x:v>
      </x:c>
      <x:c r="F12" s="10" t="str">
        <x:v>开始准备</x:v>
      </x:c>
      <x:c r="G12" s="10" t="str">
        <x:v>研一</x:v>
      </x:c>
      <x:c r="H12" s="10" t="str">
        <x:v>研一</x:v>
      </x:c>
      <x:c r="I12" s="10" t="str">
        <x:v>研一</x:v>
      </x:c>
      <x:c r="J12" s="10" t="str">
        <x:v>研一</x:v>
      </x:c>
      <x:c r="K12" s="10" t="str">
        <x:v>研一</x:v>
      </x:c>
      <x:c r="L12" s="10" t="str">
        <x:v>研一</x:v>
      </x:c>
      <x:c r="M12" s="10" t="str">
        <x:v>研一</x:v>
      </x:c>
      <x:c r="N12" s="10" t="str">
        <x:v>研一</x:v>
      </x:c>
      <x:c r="O12" s="10" t="str">
        <x:v>研一</x:v>
      </x:c>
      <x:c r="P12" s="10" t="str">
        <x:v>研一</x:v>
      </x:c>
      <x:c r="Q12" s="10" t="str">
        <x:v>研一</x:v>
      </x:c>
      <x:c r="R12" s="10" t="str">
        <x:v>研一</x:v>
      </x:c>
      <x:c r="S12" s="10" t="str">
        <x:v>研二</x:v>
      </x:c>
      <x:c r="T12" s="10" t="str">
        <x:v>研二</x:v>
      </x:c>
      <x:c r="U12" s="10" t="str">
        <x:v>研二</x:v>
      </x:c>
      <x:c r="V12" s="10" t="str">
        <x:v>研二</x:v>
      </x:c>
      <x:c r="W12" s="10" t="str">
        <x:v>研二</x:v>
      </x:c>
      <x:c r="X12" s="10" t="str">
        <x:v>研二</x:v>
      </x:c>
      <x:c r="Y12" s="10" t="str">
        <x:v>研二</x:v>
      </x:c>
      <x:c r="Z12" s="10" t="str">
        <x:v>研二</x:v>
      </x:c>
      <x:c r="AA12" s="10" t="str">
        <x:v>研二</x:v>
      </x:c>
      <x:c r="AB12" s="10" t="str">
        <x:v>研二</x:v>
      </x:c>
      <x:c r="AC12" s="10" t="str">
        <x:v>研二</x:v>
      </x:c>
      <x:c r="AD12" s="10" t="str">
        <x:v>研二</x:v>
      </x:c>
      <x:c r="AE12" s="10" t="str">
        <x:v>研三</x:v>
      </x:c>
      <x:c r="AF12" s="10" t="str">
        <x:v>研三</x:v>
      </x:c>
      <x:c r="AG12" s="10" t="str">
        <x:v>研三</x:v>
      </x:c>
      <x:c r="AH12" s="10" t="str">
        <x:v>研三</x:v>
      </x:c>
      <x:c r="AI12" s="10" t="str">
        <x:v>研三</x:v>
      </x:c>
      <x:c r="AJ12" s="10" t="str">
        <x:v>研三</x:v>
      </x:c>
      <x:c r="AK12" s="10" t="str">
        <x:v>研三</x:v>
      </x:c>
      <x:c r="AL12" s="10" t="str">
        <x:v>研三</x:v>
      </x:c>
      <x:c r="AM12" s="10" t="str">
        <x:v>研三</x:v>
      </x:c>
      <x:c r="AN12" s="10" t="str">
        <x:v>研三</x:v>
      </x:c>
      <x:c r="AO12" s="10" t="str">
        <x:v>研三</x:v>
      </x:c>
      <x:c r="AP12" s="10" t="str">
        <x:v>研三</x:v>
      </x:c>
      <x:c r="AQ12" s="2"/>
      <x:c r="AR12" s="10" t="str">
        <x:v>现在应提前准备</x:v>
      </x:c>
    </x:row>
    <x:row r="13" ht="34" customHeight="1">
      <x:c r="A13" s="10"/>
      <x:c r="B13" s="10"/>
      <x:c r="C13" s="10"/>
      <x:c r="D13" s="10"/>
      <x:c r="E13" s="10"/>
      <x:c r="F13" s="10"/>
      <x:c r="G13" s="10" t="str">
        <x:f>(MOD($C$5-1+0,12)+1)&amp;"月"</x:f>
        <x:v>9月</x:v>
      </x:c>
      <x:c r="H13" s="10" t="str">
        <x:f>(MOD($C$5-1+1,12)+1)&amp;"月"</x:f>
        <x:v>10月</x:v>
      </x:c>
      <x:c r="I13" s="10" t="str">
        <x:f>(MOD($C$5-1+2,12)+1)&amp;"月"</x:f>
        <x:v>11月</x:v>
      </x:c>
      <x:c r="J13" s="10" t="str">
        <x:f>(MOD($C$5-1+3,12)+1)&amp;"月"</x:f>
        <x:v>12月</x:v>
      </x:c>
      <x:c r="K13" s="10" t="str">
        <x:f>(MOD($C$5-1+4,12)+1)&amp;"月"</x:f>
        <x:v>1月</x:v>
      </x:c>
      <x:c r="L13" s="10" t="str">
        <x:f>(MOD($C$5-1+5,12)+1)&amp;"月"</x:f>
        <x:v>2月</x:v>
      </x:c>
      <x:c r="M13" s="10" t="str">
        <x:f>(MOD($C$5-1+6,12)+1)&amp;"月"</x:f>
        <x:v>3月</x:v>
      </x:c>
      <x:c r="N13" s="10" t="str">
        <x:f>(MOD($C$5-1+7,12)+1)&amp;"月"</x:f>
        <x:v>4月</x:v>
      </x:c>
      <x:c r="O13" s="10" t="str">
        <x:f>(MOD($C$5-1+8,12)+1)&amp;"月"</x:f>
        <x:v>5月</x:v>
      </x:c>
      <x:c r="P13" s="10" t="str">
        <x:f>(MOD($C$5-1+9,12)+1)&amp;"月"</x:f>
        <x:v>6月</x:v>
      </x:c>
      <x:c r="Q13" s="10" t="str">
        <x:f>(MOD($C$5-1+10,12)+1)&amp;"月"</x:f>
        <x:v>7月</x:v>
      </x:c>
      <x:c r="R13" s="10" t="str">
        <x:f>(MOD($C$5-1+11,12)+1)&amp;"月"</x:f>
        <x:v>8月</x:v>
      </x:c>
      <x:c r="S13" s="10" t="str">
        <x:f>(MOD($C$5-1+12,12)+1)&amp;"月"</x:f>
        <x:v>9月</x:v>
      </x:c>
      <x:c r="T13" s="10" t="str">
        <x:f>(MOD($C$5-1+13,12)+1)&amp;"月"</x:f>
        <x:v>10月</x:v>
      </x:c>
      <x:c r="U13" s="10" t="str">
        <x:f>(MOD($C$5-1+14,12)+1)&amp;"月"</x:f>
        <x:v>11月</x:v>
      </x:c>
      <x:c r="V13" s="10" t="str">
        <x:f>(MOD($C$5-1+15,12)+1)&amp;"月"</x:f>
        <x:v>12月</x:v>
      </x:c>
      <x:c r="W13" s="10" t="str">
        <x:f>(MOD($C$5-1+16,12)+1)&amp;"月"</x:f>
        <x:v>1月</x:v>
      </x:c>
      <x:c r="X13" s="10" t="str">
        <x:f>(MOD($C$5-1+17,12)+1)&amp;"月"</x:f>
        <x:v>2月</x:v>
      </x:c>
      <x:c r="Y13" s="10" t="str">
        <x:f>(MOD($C$5-1+18,12)+1)&amp;"月"</x:f>
        <x:v>3月</x:v>
      </x:c>
      <x:c r="Z13" s="10" t="str">
        <x:f>(MOD($C$5-1+19,12)+1)&amp;"月"</x:f>
        <x:v>4月</x:v>
      </x:c>
      <x:c r="AA13" s="10" t="str">
        <x:f>(MOD($C$5-1+20,12)+1)&amp;"月"</x:f>
        <x:v>5月</x:v>
      </x:c>
      <x:c r="AB13" s="10" t="str">
        <x:f>(MOD($C$5-1+21,12)+1)&amp;"月"</x:f>
        <x:v>6月</x:v>
      </x:c>
      <x:c r="AC13" s="10" t="str">
        <x:f>(MOD($C$5-1+22,12)+1)&amp;"月"</x:f>
        <x:v>7月</x:v>
      </x:c>
      <x:c r="AD13" s="10" t="str">
        <x:f>(MOD($C$5-1+23,12)+1)&amp;"月"</x:f>
        <x:v>8月</x:v>
      </x:c>
      <x:c r="AE13" s="10" t="str">
        <x:f>(MOD($C$5-1+24,12)+1)&amp;"月"</x:f>
        <x:v>9月</x:v>
      </x:c>
      <x:c r="AF13" s="10" t="str">
        <x:f>(MOD($C$5-1+25,12)+1)&amp;"月"</x:f>
        <x:v>10月</x:v>
      </x:c>
      <x:c r="AG13" s="10" t="str">
        <x:f>(MOD($C$5-1+26,12)+1)&amp;"月"</x:f>
        <x:v>11月</x:v>
      </x:c>
      <x:c r="AH13" s="10" t="str">
        <x:f>(MOD($C$5-1+27,12)+1)&amp;"月"</x:f>
        <x:v>12月</x:v>
      </x:c>
      <x:c r="AI13" s="10" t="str">
        <x:f>(MOD($C$5-1+28,12)+1)&amp;"月"</x:f>
        <x:v>1月</x:v>
      </x:c>
      <x:c r="AJ13" s="10" t="str">
        <x:f>(MOD($C$5-1+29,12)+1)&amp;"月"</x:f>
        <x:v>2月</x:v>
      </x:c>
      <x:c r="AK13" s="10" t="str">
        <x:f>(MOD($C$5-1+30,12)+1)&amp;"月"</x:f>
        <x:v>3月</x:v>
      </x:c>
      <x:c r="AL13" s="10" t="str">
        <x:f>(MOD($C$5-1+31,12)+1)&amp;"月"</x:f>
        <x:v>4月</x:v>
      </x:c>
      <x:c r="AM13" s="10" t="str">
        <x:f>(MOD($C$5-1+32,12)+1)&amp;"月"</x:f>
        <x:v>5月</x:v>
      </x:c>
      <x:c r="AN13" s="10" t="str">
        <x:f>(MOD($C$5-1+33,12)+1)&amp;"月"</x:f>
        <x:v>6月</x:v>
      </x:c>
      <x:c r="AO13" s="10" t="str">
        <x:f>(MOD($C$5-1+34,12)+1)&amp;"月"</x:f>
        <x:v>7月</x:v>
      </x:c>
      <x:c r="AP13" s="10" t="str">
        <x:f>(MOD($C$5-1+35,12)+1)&amp;"月"</x:f>
        <x:v>8月</x:v>
      </x:c>
      <x:c r="AQ13" s="2"/>
      <x:c r="AR13" s="10" t="str">
        <x:v>与节点对应的行动</x:v>
      </x:c>
    </x:row>
    <x:row r="14" ht="38" customHeight="1">
      <x:c r="A14" s="2" t="str">
        <x:f>'节点与说明'!A7</x:f>
        <x:v>A01</x:v>
      </x:c>
      <x:c r="B14" s="15" t="str">
        <x:f>'节点与说明'!B7</x:f>
        <x:v>培养</x:v>
      </x:c>
      <x:c r="C14" s="11" t="str">
        <x:f>'节点与说明'!C7</x:f>
        <x:v>制定个人培养计划</x:v>
      </x:c>
      <x:c r="D14" s="2" t="str">
        <x:f>'节点与说明'!H7</x:f>
        <x:v>待确认</x:v>
      </x:c>
      <x:c r="E14" s="2" t="n">
        <x:f>'节点与说明'!G7</x:f>
        <x:v>0</x:v>
      </x:c>
      <x:c r="F14" s="2" t="str">
        <x:f>'节点与说明'!S7</x:f>
        <x:v>研1·9月</x:v>
      </x:c>
      <x:c r="G14" s="13" t="n">
        <x:f>IF(OR('节点与说明'!H7="不适用",0&gt;'时间线'!$C$9+1),"",IF(AND(0&gt;='节点与说明'!O7,0&lt;='节点与说明'!P7),2,IF(AND(0&gt;='节点与说明'!O7-'节点与说明'!G7,0&lt;'节点与说明'!O7),1,"")))</x:f>
        <x:v>2</x:v>
      </x:c>
      <x:c r="H14" s="13" t="str">
        <x:f>IF(OR('节点与说明'!H7="不适用",1&gt;'时间线'!$C$9+1),"",IF(AND(1&gt;='节点与说明'!O7,1&lt;='节点与说明'!P7),2,IF(AND(1&gt;='节点与说明'!O7-'节点与说明'!G7,1&lt;'节点与说明'!O7),1,"")))</x:f>
      </x:c>
      <x:c r="I14" s="13" t="str">
        <x:f>IF(OR('节点与说明'!H7="不适用",2&gt;'时间线'!$C$9+1),"",IF(AND(2&gt;='节点与说明'!O7,2&lt;='节点与说明'!P7),2,IF(AND(2&gt;='节点与说明'!O7-'节点与说明'!G7,2&lt;'节点与说明'!O7),1,"")))</x:f>
      </x:c>
      <x:c r="J14" s="13" t="str">
        <x:f>IF(OR('节点与说明'!H7="不适用",3&gt;'时间线'!$C$9+1),"",IF(AND(3&gt;='节点与说明'!O7,3&lt;='节点与说明'!P7),2,IF(AND(3&gt;='节点与说明'!O7-'节点与说明'!G7,3&lt;'节点与说明'!O7),1,"")))</x:f>
      </x:c>
      <x:c r="K14" s="13" t="str">
        <x:f>IF(OR('节点与说明'!H7="不适用",4&gt;'时间线'!$C$9+1),"",IF(AND(4&gt;='节点与说明'!O7,4&lt;='节点与说明'!P7),2,IF(AND(4&gt;='节点与说明'!O7-'节点与说明'!G7,4&lt;'节点与说明'!O7),1,"")))</x:f>
      </x:c>
      <x:c r="L14" s="13" t="str">
        <x:f>IF(OR('节点与说明'!H7="不适用",5&gt;'时间线'!$C$9+1),"",IF(AND(5&gt;='节点与说明'!O7,5&lt;='节点与说明'!P7),2,IF(AND(5&gt;='节点与说明'!O7-'节点与说明'!G7,5&lt;'节点与说明'!O7),1,"")))</x:f>
      </x:c>
      <x:c r="M14" s="13" t="str">
        <x:f>IF(OR('节点与说明'!H7="不适用",6&gt;'时间线'!$C$9+1),"",IF(AND(6&gt;='节点与说明'!O7,6&lt;='节点与说明'!P7),2,IF(AND(6&gt;='节点与说明'!O7-'节点与说明'!G7,6&lt;'节点与说明'!O7),1,"")))</x:f>
      </x:c>
      <x:c r="N14" s="13" t="str">
        <x:f>IF(OR('节点与说明'!H7="不适用",7&gt;'时间线'!$C$9+1),"",IF(AND(7&gt;='节点与说明'!O7,7&lt;='节点与说明'!P7),2,IF(AND(7&gt;='节点与说明'!O7-'节点与说明'!G7,7&lt;'节点与说明'!O7),1,"")))</x:f>
      </x:c>
      <x:c r="O14" s="13" t="str">
        <x:f>IF(OR('节点与说明'!H7="不适用",8&gt;'时间线'!$C$9+1),"",IF(AND(8&gt;='节点与说明'!O7,8&lt;='节点与说明'!P7),2,IF(AND(8&gt;='节点与说明'!O7-'节点与说明'!G7,8&lt;'节点与说明'!O7),1,"")))</x:f>
      </x:c>
      <x:c r="P14" s="13" t="str">
        <x:f>IF(OR('节点与说明'!H7="不适用",9&gt;'时间线'!$C$9+1),"",IF(AND(9&gt;='节点与说明'!O7,9&lt;='节点与说明'!P7),2,IF(AND(9&gt;='节点与说明'!O7-'节点与说明'!G7,9&lt;'节点与说明'!O7),1,"")))</x:f>
      </x:c>
      <x:c r="Q14" s="13" t="str">
        <x:f>IF(OR('节点与说明'!H7="不适用",10&gt;'时间线'!$C$9+1),"",IF(AND(10&gt;='节点与说明'!O7,10&lt;='节点与说明'!P7),2,IF(AND(10&gt;='节点与说明'!O7-'节点与说明'!G7,10&lt;'节点与说明'!O7),1,"")))</x:f>
      </x:c>
      <x:c r="R14" s="13" t="str">
        <x:f>IF(OR('节点与说明'!H7="不适用",11&gt;'时间线'!$C$9+1),"",IF(AND(11&gt;='节点与说明'!O7,11&lt;='节点与说明'!P7),2,IF(AND(11&gt;='节点与说明'!O7-'节点与说明'!G7,11&lt;'节点与说明'!O7),1,"")))</x:f>
      </x:c>
      <x:c r="S14" s="13" t="str">
        <x:f>IF(OR('节点与说明'!H7="不适用",12&gt;'时间线'!$C$9+1),"",IF(AND(12&gt;='节点与说明'!O7,12&lt;='节点与说明'!P7),2,IF(AND(12&gt;='节点与说明'!O7-'节点与说明'!G7,12&lt;'节点与说明'!O7),1,"")))</x:f>
      </x:c>
      <x:c r="T14" s="13" t="str">
        <x:f>IF(OR('节点与说明'!H7="不适用",13&gt;'时间线'!$C$9+1),"",IF(AND(13&gt;='节点与说明'!O7,13&lt;='节点与说明'!P7),2,IF(AND(13&gt;='节点与说明'!O7-'节点与说明'!G7,13&lt;'节点与说明'!O7),1,"")))</x:f>
      </x:c>
      <x:c r="U14" s="13" t="str">
        <x:f>IF(OR('节点与说明'!H7="不适用",14&gt;'时间线'!$C$9+1),"",IF(AND(14&gt;='节点与说明'!O7,14&lt;='节点与说明'!P7),2,IF(AND(14&gt;='节点与说明'!O7-'节点与说明'!G7,14&lt;'节点与说明'!O7),1,"")))</x:f>
      </x:c>
      <x:c r="V14" s="13" t="str">
        <x:f>IF(OR('节点与说明'!H7="不适用",15&gt;'时间线'!$C$9+1),"",IF(AND(15&gt;='节点与说明'!O7,15&lt;='节点与说明'!P7),2,IF(AND(15&gt;='节点与说明'!O7-'节点与说明'!G7,15&lt;'节点与说明'!O7),1,"")))</x:f>
      </x:c>
      <x:c r="W14" s="13" t="str">
        <x:f>IF(OR('节点与说明'!H7="不适用",16&gt;'时间线'!$C$9+1),"",IF(AND(16&gt;='节点与说明'!O7,16&lt;='节点与说明'!P7),2,IF(AND(16&gt;='节点与说明'!O7-'节点与说明'!G7,16&lt;'节点与说明'!O7),1,"")))</x:f>
      </x:c>
      <x:c r="X14" s="13" t="str">
        <x:f>IF(OR('节点与说明'!H7="不适用",17&gt;'时间线'!$C$9+1),"",IF(AND(17&gt;='节点与说明'!O7,17&lt;='节点与说明'!P7),2,IF(AND(17&gt;='节点与说明'!O7-'节点与说明'!G7,17&lt;'节点与说明'!O7),1,"")))</x:f>
      </x:c>
      <x:c r="Y14" s="13" t="str">
        <x:f>IF(OR('节点与说明'!H7="不适用",18&gt;'时间线'!$C$9+1),"",IF(AND(18&gt;='节点与说明'!O7,18&lt;='节点与说明'!P7),2,IF(AND(18&gt;='节点与说明'!O7-'节点与说明'!G7,18&lt;'节点与说明'!O7),1,"")))</x:f>
      </x:c>
      <x:c r="Z14" s="13" t="str">
        <x:f>IF(OR('节点与说明'!H7="不适用",19&gt;'时间线'!$C$9+1),"",IF(AND(19&gt;='节点与说明'!O7,19&lt;='节点与说明'!P7),2,IF(AND(19&gt;='节点与说明'!O7-'节点与说明'!G7,19&lt;'节点与说明'!O7),1,"")))</x:f>
      </x:c>
      <x:c r="AA14" s="13" t="str">
        <x:f>IF(OR('节点与说明'!H7="不适用",20&gt;'时间线'!$C$9+1),"",IF(AND(20&gt;='节点与说明'!O7,20&lt;='节点与说明'!P7),2,IF(AND(20&gt;='节点与说明'!O7-'节点与说明'!G7,20&lt;'节点与说明'!O7),1,"")))</x:f>
      </x:c>
      <x:c r="AB14" s="13" t="str">
        <x:f>IF(OR('节点与说明'!H7="不适用",21&gt;'时间线'!$C$9+1),"",IF(AND(21&gt;='节点与说明'!O7,21&lt;='节点与说明'!P7),2,IF(AND(21&gt;='节点与说明'!O7-'节点与说明'!G7,21&lt;'节点与说明'!O7),1,"")))</x:f>
      </x:c>
      <x:c r="AC14" s="13" t="str">
        <x:f>IF(OR('节点与说明'!H7="不适用",22&gt;'时间线'!$C$9+1),"",IF(AND(22&gt;='节点与说明'!O7,22&lt;='节点与说明'!P7),2,IF(AND(22&gt;='节点与说明'!O7-'节点与说明'!G7,22&lt;'节点与说明'!O7),1,"")))</x:f>
      </x:c>
      <x:c r="AD14" s="13" t="str">
        <x:f>IF(OR('节点与说明'!H7="不适用",23&gt;'时间线'!$C$9+1),"",IF(AND(23&gt;='节点与说明'!O7,23&lt;='节点与说明'!P7),2,IF(AND(23&gt;='节点与说明'!O7-'节点与说明'!G7,23&lt;'节点与说明'!O7),1,"")))</x:f>
      </x:c>
      <x:c r="AE14" s="13" t="str">
        <x:f>IF(OR('节点与说明'!H7="不适用",24&gt;'时间线'!$C$9+1),"",IF(AND(24&gt;='节点与说明'!O7,24&lt;='节点与说明'!P7),2,IF(AND(24&gt;='节点与说明'!O7-'节点与说明'!G7,24&lt;'节点与说明'!O7),1,"")))</x:f>
      </x:c>
      <x:c r="AF14" s="13" t="str">
        <x:f>IF(OR('节点与说明'!H7="不适用",25&gt;'时间线'!$C$9+1),"",IF(AND(25&gt;='节点与说明'!O7,25&lt;='节点与说明'!P7),2,IF(AND(25&gt;='节点与说明'!O7-'节点与说明'!G7,25&lt;'节点与说明'!O7),1,"")))</x:f>
      </x:c>
      <x:c r="AG14" s="13" t="str">
        <x:f>IF(OR('节点与说明'!H7="不适用",26&gt;'时间线'!$C$9+1),"",IF(AND(26&gt;='节点与说明'!O7,26&lt;='节点与说明'!P7),2,IF(AND(26&gt;='节点与说明'!O7-'节点与说明'!G7,26&lt;'节点与说明'!O7),1,"")))</x:f>
      </x:c>
      <x:c r="AH14" s="13" t="str">
        <x:f>IF(OR('节点与说明'!H7="不适用",27&gt;'时间线'!$C$9+1),"",IF(AND(27&gt;='节点与说明'!O7,27&lt;='节点与说明'!P7),2,IF(AND(27&gt;='节点与说明'!O7-'节点与说明'!G7,27&lt;'节点与说明'!O7),1,"")))</x:f>
      </x:c>
      <x:c r="AI14" s="13" t="str">
        <x:f>IF(OR('节点与说明'!H7="不适用",28&gt;'时间线'!$C$9+1),"",IF(AND(28&gt;='节点与说明'!O7,28&lt;='节点与说明'!P7),2,IF(AND(28&gt;='节点与说明'!O7-'节点与说明'!G7,28&lt;'节点与说明'!O7),1,"")))</x:f>
      </x:c>
      <x:c r="AJ14" s="13" t="str">
        <x:f>IF(OR('节点与说明'!H7="不适用",29&gt;'时间线'!$C$9+1),"",IF(AND(29&gt;='节点与说明'!O7,29&lt;='节点与说明'!P7),2,IF(AND(29&gt;='节点与说明'!O7-'节点与说明'!G7,29&lt;'节点与说明'!O7),1,"")))</x:f>
      </x:c>
      <x:c r="AK14" s="13" t="str">
        <x:f>IF(OR('节点与说明'!H7="不适用",30&gt;'时间线'!$C$9+1),"",IF(AND(30&gt;='节点与说明'!O7,30&lt;='节点与说明'!P7),2,IF(AND(30&gt;='节点与说明'!O7-'节点与说明'!G7,30&lt;'节点与说明'!O7),1,"")))</x:f>
      </x:c>
      <x:c r="AL14" s="13" t="str">
        <x:f>IF(OR('节点与说明'!H7="不适用",31&gt;'时间线'!$C$9+1),"",IF(AND(31&gt;='节点与说明'!O7,31&lt;='节点与说明'!P7),2,IF(AND(31&gt;='节点与说明'!O7-'节点与说明'!G7,31&lt;'节点与说明'!O7),1,"")))</x:f>
      </x:c>
      <x:c r="AM14" s="13" t="str">
        <x:f>IF(OR('节点与说明'!H7="不适用",32&gt;'时间线'!$C$9+1),"",IF(AND(32&gt;='节点与说明'!O7,32&lt;='节点与说明'!P7),2,IF(AND(32&gt;='节点与说明'!O7-'节点与说明'!G7,32&lt;'节点与说明'!O7),1,"")))</x:f>
      </x:c>
      <x:c r="AN14" s="13" t="str">
        <x:f>IF(OR('节点与说明'!H7="不适用",33&gt;'时间线'!$C$9+1),"",IF(AND(33&gt;='节点与说明'!O7,33&lt;='节点与说明'!P7),2,IF(AND(33&gt;='节点与说明'!O7-'节点与说明'!G7,33&lt;'节点与说明'!O7),1,"")))</x:f>
      </x:c>
      <x:c r="AO14" s="13" t="str">
        <x:f>IF(OR('节点与说明'!H7="不适用",34&gt;'时间线'!$C$9+1),"",IF(AND(34&gt;='节点与说明'!O7,34&lt;='节点与说明'!P7),2,IF(AND(34&gt;='节点与说明'!O7-'节点与说明'!G7,34&lt;'节点与说明'!O7),1,"")))</x:f>
      </x:c>
      <x:c r="AP14" s="13" t="str">
        <x:f>IF(OR('节点与说明'!H7="不适用",35&gt;'时间线'!$C$9+1),"",IF(AND(35&gt;='节点与说明'!O7,35&lt;='节点与说明'!P7),2,IF(AND(35&gt;='节点与说明'!O7-'节点与说明'!G7,35&lt;'节点与说明'!O7),1,"")))</x:f>
      </x:c>
      <x:c r="AQ14" s="2"/>
      <x:c r="AR14" s="11" t="str">
        <x:f>'节点与说明'!N7</x:f>
        <x:v>入学即核对本专业、本年级方案；已有计划则补记实际完成状态。</x:v>
      </x:c>
    </x:row>
    <x:row r="15" ht="38" customHeight="1">
      <x:c r="A15" s="2" t="str">
        <x:f>'节点与说明'!A8</x:f>
        <x:v>A18</x:v>
      </x:c>
      <x:c r="B15" s="15" t="str">
        <x:f>'节点与说明'!B8</x:f>
        <x:v>培养</x:v>
      </x:c>
      <x:c r="C15" s="11" t="str">
        <x:f>'节点与说明'!C8</x:f>
        <x:v>入学3个月内确定研究范围</x:v>
      </x:c>
      <x:c r="D15" s="2" t="str">
        <x:f>'节点与说明'!H8</x:f>
        <x:v>待确认</x:v>
      </x:c>
      <x:c r="E15" s="2" t="n">
        <x:f>'节点与说明'!G8</x:f>
        <x:v>0</x:v>
      </x:c>
      <x:c r="F15" s="2" t="str">
        <x:f>'节点与说明'!S8</x:f>
        <x:v>研1·9月</x:v>
      </x:c>
      <x:c r="G15" s="13" t="n">
        <x:f>IF(OR('节点与说明'!H8="不适用",0&gt;'时间线'!$C$9+1),"",IF(AND(0&gt;='节点与说明'!O8,0&lt;='节点与说明'!P8),2,IF(AND(0&gt;='节点与说明'!O8-'节点与说明'!G8,0&lt;'节点与说明'!O8),1,"")))</x:f>
        <x:v>2</x:v>
      </x:c>
      <x:c r="H15" s="13" t="n">
        <x:f>IF(OR('节点与说明'!H8="不适用",1&gt;'时间线'!$C$9+1),"",IF(AND(1&gt;='节点与说明'!O8,1&lt;='节点与说明'!P8),2,IF(AND(1&gt;='节点与说明'!O8-'节点与说明'!G8,1&lt;'节点与说明'!O8),1,"")))</x:f>
        <x:v>2</x:v>
      </x:c>
      <x:c r="I15" s="13" t="n">
        <x:f>IF(OR('节点与说明'!H8="不适用",2&gt;'时间线'!$C$9+1),"",IF(AND(2&gt;='节点与说明'!O8,2&lt;='节点与说明'!P8),2,IF(AND(2&gt;='节点与说明'!O8-'节点与说明'!G8,2&lt;'节点与说明'!O8),1,"")))</x:f>
        <x:v>2</x:v>
      </x:c>
      <x:c r="J15" s="13" t="str">
        <x:f>IF(OR('节点与说明'!H8="不适用",3&gt;'时间线'!$C$9+1),"",IF(AND(3&gt;='节点与说明'!O8,3&lt;='节点与说明'!P8),2,IF(AND(3&gt;='节点与说明'!O8-'节点与说明'!G8,3&lt;'节点与说明'!O8),1,"")))</x:f>
      </x:c>
      <x:c r="K15" s="13" t="str">
        <x:f>IF(OR('节点与说明'!H8="不适用",4&gt;'时间线'!$C$9+1),"",IF(AND(4&gt;='节点与说明'!O8,4&lt;='节点与说明'!P8),2,IF(AND(4&gt;='节点与说明'!O8-'节点与说明'!G8,4&lt;'节点与说明'!O8),1,"")))</x:f>
      </x:c>
      <x:c r="L15" s="13" t="str">
        <x:f>IF(OR('节点与说明'!H8="不适用",5&gt;'时间线'!$C$9+1),"",IF(AND(5&gt;='节点与说明'!O8,5&lt;='节点与说明'!P8),2,IF(AND(5&gt;='节点与说明'!O8-'节点与说明'!G8,5&lt;'节点与说明'!O8),1,"")))</x:f>
      </x:c>
      <x:c r="M15" s="13" t="str">
        <x:f>IF(OR('节点与说明'!H8="不适用",6&gt;'时间线'!$C$9+1),"",IF(AND(6&gt;='节点与说明'!O8,6&lt;='节点与说明'!P8),2,IF(AND(6&gt;='节点与说明'!O8-'节点与说明'!G8,6&lt;'节点与说明'!O8),1,"")))</x:f>
      </x:c>
      <x:c r="N15" s="13" t="str">
        <x:f>IF(OR('节点与说明'!H8="不适用",7&gt;'时间线'!$C$9+1),"",IF(AND(7&gt;='节点与说明'!O8,7&lt;='节点与说明'!P8),2,IF(AND(7&gt;='节点与说明'!O8-'节点与说明'!G8,7&lt;'节点与说明'!O8),1,"")))</x:f>
      </x:c>
      <x:c r="O15" s="13" t="str">
        <x:f>IF(OR('节点与说明'!H8="不适用",8&gt;'时间线'!$C$9+1),"",IF(AND(8&gt;='节点与说明'!O8,8&lt;='节点与说明'!P8),2,IF(AND(8&gt;='节点与说明'!O8-'节点与说明'!G8,8&lt;'节点与说明'!O8),1,"")))</x:f>
      </x:c>
      <x:c r="P15" s="13" t="str">
        <x:f>IF(OR('节点与说明'!H8="不适用",9&gt;'时间线'!$C$9+1),"",IF(AND(9&gt;='节点与说明'!O8,9&lt;='节点与说明'!P8),2,IF(AND(9&gt;='节点与说明'!O8-'节点与说明'!G8,9&lt;'节点与说明'!O8),1,"")))</x:f>
      </x:c>
      <x:c r="Q15" s="13" t="str">
        <x:f>IF(OR('节点与说明'!H8="不适用",10&gt;'时间线'!$C$9+1),"",IF(AND(10&gt;='节点与说明'!O8,10&lt;='节点与说明'!P8),2,IF(AND(10&gt;='节点与说明'!O8-'节点与说明'!G8,10&lt;'节点与说明'!O8),1,"")))</x:f>
      </x:c>
      <x:c r="R15" s="13" t="str">
        <x:f>IF(OR('节点与说明'!H8="不适用",11&gt;'时间线'!$C$9+1),"",IF(AND(11&gt;='节点与说明'!O8,11&lt;='节点与说明'!P8),2,IF(AND(11&gt;='节点与说明'!O8-'节点与说明'!G8,11&lt;'节点与说明'!O8),1,"")))</x:f>
      </x:c>
      <x:c r="S15" s="13" t="str">
        <x:f>IF(OR('节点与说明'!H8="不适用",12&gt;'时间线'!$C$9+1),"",IF(AND(12&gt;='节点与说明'!O8,12&lt;='节点与说明'!P8),2,IF(AND(12&gt;='节点与说明'!O8-'节点与说明'!G8,12&lt;'节点与说明'!O8),1,"")))</x:f>
      </x:c>
      <x:c r="T15" s="13" t="str">
        <x:f>IF(OR('节点与说明'!H8="不适用",13&gt;'时间线'!$C$9+1),"",IF(AND(13&gt;='节点与说明'!O8,13&lt;='节点与说明'!P8),2,IF(AND(13&gt;='节点与说明'!O8-'节点与说明'!G8,13&lt;'节点与说明'!O8),1,"")))</x:f>
      </x:c>
      <x:c r="U15" s="13" t="str">
        <x:f>IF(OR('节点与说明'!H8="不适用",14&gt;'时间线'!$C$9+1),"",IF(AND(14&gt;='节点与说明'!O8,14&lt;='节点与说明'!P8),2,IF(AND(14&gt;='节点与说明'!O8-'节点与说明'!G8,14&lt;'节点与说明'!O8),1,"")))</x:f>
      </x:c>
      <x:c r="V15" s="13" t="str">
        <x:f>IF(OR('节点与说明'!H8="不适用",15&gt;'时间线'!$C$9+1),"",IF(AND(15&gt;='节点与说明'!O8,15&lt;='节点与说明'!P8),2,IF(AND(15&gt;='节点与说明'!O8-'节点与说明'!G8,15&lt;'节点与说明'!O8),1,"")))</x:f>
      </x:c>
      <x:c r="W15" s="13" t="str">
        <x:f>IF(OR('节点与说明'!H8="不适用",16&gt;'时间线'!$C$9+1),"",IF(AND(16&gt;='节点与说明'!O8,16&lt;='节点与说明'!P8),2,IF(AND(16&gt;='节点与说明'!O8-'节点与说明'!G8,16&lt;'节点与说明'!O8),1,"")))</x:f>
      </x:c>
      <x:c r="X15" s="13" t="str">
        <x:f>IF(OR('节点与说明'!H8="不适用",17&gt;'时间线'!$C$9+1),"",IF(AND(17&gt;='节点与说明'!O8,17&lt;='节点与说明'!P8),2,IF(AND(17&gt;='节点与说明'!O8-'节点与说明'!G8,17&lt;'节点与说明'!O8),1,"")))</x:f>
      </x:c>
      <x:c r="Y15" s="13" t="str">
        <x:f>IF(OR('节点与说明'!H8="不适用",18&gt;'时间线'!$C$9+1),"",IF(AND(18&gt;='节点与说明'!O8,18&lt;='节点与说明'!P8),2,IF(AND(18&gt;='节点与说明'!O8-'节点与说明'!G8,18&lt;'节点与说明'!O8),1,"")))</x:f>
      </x:c>
      <x:c r="Z15" s="13" t="str">
        <x:f>IF(OR('节点与说明'!H8="不适用",19&gt;'时间线'!$C$9+1),"",IF(AND(19&gt;='节点与说明'!O8,19&lt;='节点与说明'!P8),2,IF(AND(19&gt;='节点与说明'!O8-'节点与说明'!G8,19&lt;'节点与说明'!O8),1,"")))</x:f>
      </x:c>
      <x:c r="AA15" s="13" t="str">
        <x:f>IF(OR('节点与说明'!H8="不适用",20&gt;'时间线'!$C$9+1),"",IF(AND(20&gt;='节点与说明'!O8,20&lt;='节点与说明'!P8),2,IF(AND(20&gt;='节点与说明'!O8-'节点与说明'!G8,20&lt;'节点与说明'!O8),1,"")))</x:f>
      </x:c>
      <x:c r="AB15" s="13" t="str">
        <x:f>IF(OR('节点与说明'!H8="不适用",21&gt;'时间线'!$C$9+1),"",IF(AND(21&gt;='节点与说明'!O8,21&lt;='节点与说明'!P8),2,IF(AND(21&gt;='节点与说明'!O8-'节点与说明'!G8,21&lt;'节点与说明'!O8),1,"")))</x:f>
      </x:c>
      <x:c r="AC15" s="13" t="str">
        <x:f>IF(OR('节点与说明'!H8="不适用",22&gt;'时间线'!$C$9+1),"",IF(AND(22&gt;='节点与说明'!O8,22&lt;='节点与说明'!P8),2,IF(AND(22&gt;='节点与说明'!O8-'节点与说明'!G8,22&lt;'节点与说明'!O8),1,"")))</x:f>
      </x:c>
      <x:c r="AD15" s="13" t="str">
        <x:f>IF(OR('节点与说明'!H8="不适用",23&gt;'时间线'!$C$9+1),"",IF(AND(23&gt;='节点与说明'!O8,23&lt;='节点与说明'!P8),2,IF(AND(23&gt;='节点与说明'!O8-'节点与说明'!G8,23&lt;'节点与说明'!O8),1,"")))</x:f>
      </x:c>
      <x:c r="AE15" s="13" t="str">
        <x:f>IF(OR('节点与说明'!H8="不适用",24&gt;'时间线'!$C$9+1),"",IF(AND(24&gt;='节点与说明'!O8,24&lt;='节点与说明'!P8),2,IF(AND(24&gt;='节点与说明'!O8-'节点与说明'!G8,24&lt;'节点与说明'!O8),1,"")))</x:f>
      </x:c>
      <x:c r="AF15" s="13" t="str">
        <x:f>IF(OR('节点与说明'!H8="不适用",25&gt;'时间线'!$C$9+1),"",IF(AND(25&gt;='节点与说明'!O8,25&lt;='节点与说明'!P8),2,IF(AND(25&gt;='节点与说明'!O8-'节点与说明'!G8,25&lt;'节点与说明'!O8),1,"")))</x:f>
      </x:c>
      <x:c r="AG15" s="13" t="str">
        <x:f>IF(OR('节点与说明'!H8="不适用",26&gt;'时间线'!$C$9+1),"",IF(AND(26&gt;='节点与说明'!O8,26&lt;='节点与说明'!P8),2,IF(AND(26&gt;='节点与说明'!O8-'节点与说明'!G8,26&lt;'节点与说明'!O8),1,"")))</x:f>
      </x:c>
      <x:c r="AH15" s="13" t="str">
        <x:f>IF(OR('节点与说明'!H8="不适用",27&gt;'时间线'!$C$9+1),"",IF(AND(27&gt;='节点与说明'!O8,27&lt;='节点与说明'!P8),2,IF(AND(27&gt;='节点与说明'!O8-'节点与说明'!G8,27&lt;'节点与说明'!O8),1,"")))</x:f>
      </x:c>
      <x:c r="AI15" s="13" t="str">
        <x:f>IF(OR('节点与说明'!H8="不适用",28&gt;'时间线'!$C$9+1),"",IF(AND(28&gt;='节点与说明'!O8,28&lt;='节点与说明'!P8),2,IF(AND(28&gt;='节点与说明'!O8-'节点与说明'!G8,28&lt;'节点与说明'!O8),1,"")))</x:f>
      </x:c>
      <x:c r="AJ15" s="13" t="str">
        <x:f>IF(OR('节点与说明'!H8="不适用",29&gt;'时间线'!$C$9+1),"",IF(AND(29&gt;='节点与说明'!O8,29&lt;='节点与说明'!P8),2,IF(AND(29&gt;='节点与说明'!O8-'节点与说明'!G8,29&lt;'节点与说明'!O8),1,"")))</x:f>
      </x:c>
      <x:c r="AK15" s="13" t="str">
        <x:f>IF(OR('节点与说明'!H8="不适用",30&gt;'时间线'!$C$9+1),"",IF(AND(30&gt;='节点与说明'!O8,30&lt;='节点与说明'!P8),2,IF(AND(30&gt;='节点与说明'!O8-'节点与说明'!G8,30&lt;'节点与说明'!O8),1,"")))</x:f>
      </x:c>
      <x:c r="AL15" s="13" t="str">
        <x:f>IF(OR('节点与说明'!H8="不适用",31&gt;'时间线'!$C$9+1),"",IF(AND(31&gt;='节点与说明'!O8,31&lt;='节点与说明'!P8),2,IF(AND(31&gt;='节点与说明'!O8-'节点与说明'!G8,31&lt;'节点与说明'!O8),1,"")))</x:f>
      </x:c>
      <x:c r="AM15" s="13" t="str">
        <x:f>IF(OR('节点与说明'!H8="不适用",32&gt;'时间线'!$C$9+1),"",IF(AND(32&gt;='节点与说明'!O8,32&lt;='节点与说明'!P8),2,IF(AND(32&gt;='节点与说明'!O8-'节点与说明'!G8,32&lt;'节点与说明'!O8),1,"")))</x:f>
      </x:c>
      <x:c r="AN15" s="13" t="str">
        <x:f>IF(OR('节点与说明'!H8="不适用",33&gt;'时间线'!$C$9+1),"",IF(AND(33&gt;='节点与说明'!O8,33&lt;='节点与说明'!P8),2,IF(AND(33&gt;='节点与说明'!O8-'节点与说明'!G8,33&lt;'节点与说明'!O8),1,"")))</x:f>
      </x:c>
      <x:c r="AO15" s="13" t="str">
        <x:f>IF(OR('节点与说明'!H8="不适用",34&gt;'时间线'!$C$9+1),"",IF(AND(34&gt;='节点与说明'!O8,34&lt;='节点与说明'!P8),2,IF(AND(34&gt;='节点与说明'!O8-'节点与说明'!G8,34&lt;'节点与说明'!O8),1,"")))</x:f>
      </x:c>
      <x:c r="AP15" s="13" t="str">
        <x:f>IF(OR('节点与说明'!H8="不适用",35&gt;'时间线'!$C$9+1),"",IF(AND(35&gt;='节点与说明'!O8,35&lt;='节点与说明'!P8),2,IF(AND(35&gt;='节点与说明'!O8-'节点与说明'!G8,35&lt;'节点与说明'!O8),1,"")))</x:f>
      </x:c>
      <x:c r="AQ15" s="2"/>
      <x:c r="AR15" s="11" t="str">
        <x:f>'节点与说明'!N8</x:f>
        <x:v>入学首月开始整理，第二个月检查可行性。</x:v>
      </x:c>
    </x:row>
    <x:row r="16" ht="38" customHeight="1">
      <x:c r="A16" s="2" t="str">
        <x:f>'节点与说明'!A9</x:f>
        <x:v>A02</x:v>
      </x:c>
      <x:c r="B16" s="15" t="str">
        <x:f>'节点与说明'!B9</x:f>
        <x:v>培养</x:v>
      </x:c>
      <x:c r="C16" s="11" t="str">
        <x:f>'节点与说明'!C9</x:f>
        <x:v>课程及学分核对</x:v>
      </x:c>
      <x:c r="D16" s="2" t="str">
        <x:f>'节点与说明'!H9</x:f>
        <x:v>待确认</x:v>
      </x:c>
      <x:c r="E16" s="2" t="n">
        <x:f>'节点与说明'!G9</x:f>
        <x:v>0</x:v>
      </x:c>
      <x:c r="F16" s="2" t="str">
        <x:f>'节点与说明'!S9</x:f>
        <x:v>研1·9月</x:v>
      </x:c>
      <x:c r="G16" s="13" t="n">
        <x:f>IF(OR('节点与说明'!H9="不适用",0&gt;'时间线'!$C$9+1),"",IF(AND(0&gt;='节点与说明'!O9,0&lt;='节点与说明'!P9),2,IF(AND(0&gt;='节点与说明'!O9-'节点与说明'!G9,0&lt;'节点与说明'!O9),1,"")))</x:f>
        <x:v>2</x:v>
      </x:c>
      <x:c r="H16" s="13" t="n">
        <x:f>IF(OR('节点与说明'!H9="不适用",1&gt;'时间线'!$C$9+1),"",IF(AND(1&gt;='节点与说明'!O9,1&lt;='节点与说明'!P9),2,IF(AND(1&gt;='节点与说明'!O9-'节点与说明'!G9,1&lt;'节点与说明'!O9),1,"")))</x:f>
        <x:v>2</x:v>
      </x:c>
      <x:c r="I16" s="13" t="n">
        <x:f>IF(OR('节点与说明'!H9="不适用",2&gt;'时间线'!$C$9+1),"",IF(AND(2&gt;='节点与说明'!O9,2&lt;='节点与说明'!P9),2,IF(AND(2&gt;='节点与说明'!O9-'节点与说明'!G9,2&lt;'节点与说明'!O9),1,"")))</x:f>
        <x:v>2</x:v>
      </x:c>
      <x:c r="J16" s="13" t="n">
        <x:f>IF(OR('节点与说明'!H9="不适用",3&gt;'时间线'!$C$9+1),"",IF(AND(3&gt;='节点与说明'!O9,3&lt;='节点与说明'!P9),2,IF(AND(3&gt;='节点与说明'!O9-'节点与说明'!G9,3&lt;'节点与说明'!O9),1,"")))</x:f>
        <x:v>2</x:v>
      </x:c>
      <x:c r="K16" s="13" t="n">
        <x:f>IF(OR('节点与说明'!H9="不适用",4&gt;'时间线'!$C$9+1),"",IF(AND(4&gt;='节点与说明'!O9,4&lt;='节点与说明'!P9),2,IF(AND(4&gt;='节点与说明'!O9-'节点与说明'!G9,4&lt;'节点与说明'!O9),1,"")))</x:f>
        <x:v>2</x:v>
      </x:c>
      <x:c r="L16" s="13" t="n">
        <x:f>IF(OR('节点与说明'!H9="不适用",5&gt;'时间线'!$C$9+1),"",IF(AND(5&gt;='节点与说明'!O9,5&lt;='节点与说明'!P9),2,IF(AND(5&gt;='节点与说明'!O9-'节点与说明'!G9,5&lt;'节点与说明'!O9),1,"")))</x:f>
        <x:v>2</x:v>
      </x:c>
      <x:c r="M16" s="13" t="n">
        <x:f>IF(OR('节点与说明'!H9="不适用",6&gt;'时间线'!$C$9+1),"",IF(AND(6&gt;='节点与说明'!O9,6&lt;='节点与说明'!P9),2,IF(AND(6&gt;='节点与说明'!O9-'节点与说明'!G9,6&lt;'节点与说明'!O9),1,"")))</x:f>
        <x:v>2</x:v>
      </x:c>
      <x:c r="N16" s="13" t="n">
        <x:f>IF(OR('节点与说明'!H9="不适用",7&gt;'时间线'!$C$9+1),"",IF(AND(7&gt;='节点与说明'!O9,7&lt;='节点与说明'!P9),2,IF(AND(7&gt;='节点与说明'!O9-'节点与说明'!G9,7&lt;'节点与说明'!O9),1,"")))</x:f>
        <x:v>2</x:v>
      </x:c>
      <x:c r="O16" s="13" t="n">
        <x:f>IF(OR('节点与说明'!H9="不适用",8&gt;'时间线'!$C$9+1),"",IF(AND(8&gt;='节点与说明'!O9,8&lt;='节点与说明'!P9),2,IF(AND(8&gt;='节点与说明'!O9-'节点与说明'!G9,8&lt;'节点与说明'!O9),1,"")))</x:f>
        <x:v>2</x:v>
      </x:c>
      <x:c r="P16" s="13" t="n">
        <x:f>IF(OR('节点与说明'!H9="不适用",9&gt;'时间线'!$C$9+1),"",IF(AND(9&gt;='节点与说明'!O9,9&lt;='节点与说明'!P9),2,IF(AND(9&gt;='节点与说明'!O9-'节点与说明'!G9,9&lt;'节点与说明'!O9),1,"")))</x:f>
        <x:v>2</x:v>
      </x:c>
      <x:c r="Q16" s="13" t="n">
        <x:f>IF(OR('节点与说明'!H9="不适用",10&gt;'时间线'!$C$9+1),"",IF(AND(10&gt;='节点与说明'!O9,10&lt;='节点与说明'!P9),2,IF(AND(10&gt;='节点与说明'!O9-'节点与说明'!G9,10&lt;'节点与说明'!O9),1,"")))</x:f>
        <x:v>2</x:v>
      </x:c>
      <x:c r="R16" s="13" t="n">
        <x:f>IF(OR('节点与说明'!H9="不适用",11&gt;'时间线'!$C$9+1),"",IF(AND(11&gt;='节点与说明'!O9,11&lt;='节点与说明'!P9),2,IF(AND(11&gt;='节点与说明'!O9-'节点与说明'!G9,11&lt;'节点与说明'!O9),1,"")))</x:f>
        <x:v>2</x:v>
      </x:c>
      <x:c r="S16" s="13" t="str">
        <x:f>IF(OR('节点与说明'!H9="不适用",12&gt;'时间线'!$C$9+1),"",IF(AND(12&gt;='节点与说明'!O9,12&lt;='节点与说明'!P9),2,IF(AND(12&gt;='节点与说明'!O9-'节点与说明'!G9,12&lt;'节点与说明'!O9),1,"")))</x:f>
      </x:c>
      <x:c r="T16" s="13" t="str">
        <x:f>IF(OR('节点与说明'!H9="不适用",13&gt;'时间线'!$C$9+1),"",IF(AND(13&gt;='节点与说明'!O9,13&lt;='节点与说明'!P9),2,IF(AND(13&gt;='节点与说明'!O9-'节点与说明'!G9,13&lt;'节点与说明'!O9),1,"")))</x:f>
      </x:c>
      <x:c r="U16" s="13" t="str">
        <x:f>IF(OR('节点与说明'!H9="不适用",14&gt;'时间线'!$C$9+1),"",IF(AND(14&gt;='节点与说明'!O9,14&lt;='节点与说明'!P9),2,IF(AND(14&gt;='节点与说明'!O9-'节点与说明'!G9,14&lt;'节点与说明'!O9),1,"")))</x:f>
      </x:c>
      <x:c r="V16" s="13" t="str">
        <x:f>IF(OR('节点与说明'!H9="不适用",15&gt;'时间线'!$C$9+1),"",IF(AND(15&gt;='节点与说明'!O9,15&lt;='节点与说明'!P9),2,IF(AND(15&gt;='节点与说明'!O9-'节点与说明'!G9,15&lt;'节点与说明'!O9),1,"")))</x:f>
      </x:c>
      <x:c r="W16" s="13" t="str">
        <x:f>IF(OR('节点与说明'!H9="不适用",16&gt;'时间线'!$C$9+1),"",IF(AND(16&gt;='节点与说明'!O9,16&lt;='节点与说明'!P9),2,IF(AND(16&gt;='节点与说明'!O9-'节点与说明'!G9,16&lt;'节点与说明'!O9),1,"")))</x:f>
      </x:c>
      <x:c r="X16" s="13" t="str">
        <x:f>IF(OR('节点与说明'!H9="不适用",17&gt;'时间线'!$C$9+1),"",IF(AND(17&gt;='节点与说明'!O9,17&lt;='节点与说明'!P9),2,IF(AND(17&gt;='节点与说明'!O9-'节点与说明'!G9,17&lt;'节点与说明'!O9),1,"")))</x:f>
      </x:c>
      <x:c r="Y16" s="13" t="str">
        <x:f>IF(OR('节点与说明'!H9="不适用",18&gt;'时间线'!$C$9+1),"",IF(AND(18&gt;='节点与说明'!O9,18&lt;='节点与说明'!P9),2,IF(AND(18&gt;='节点与说明'!O9-'节点与说明'!G9,18&lt;'节点与说明'!O9),1,"")))</x:f>
      </x:c>
      <x:c r="Z16" s="13" t="str">
        <x:f>IF(OR('节点与说明'!H9="不适用",19&gt;'时间线'!$C$9+1),"",IF(AND(19&gt;='节点与说明'!O9,19&lt;='节点与说明'!P9),2,IF(AND(19&gt;='节点与说明'!O9-'节点与说明'!G9,19&lt;'节点与说明'!O9),1,"")))</x:f>
      </x:c>
      <x:c r="AA16" s="13" t="str">
        <x:f>IF(OR('节点与说明'!H9="不适用",20&gt;'时间线'!$C$9+1),"",IF(AND(20&gt;='节点与说明'!O9,20&lt;='节点与说明'!P9),2,IF(AND(20&gt;='节点与说明'!O9-'节点与说明'!G9,20&lt;'节点与说明'!O9),1,"")))</x:f>
      </x:c>
      <x:c r="AB16" s="13" t="str">
        <x:f>IF(OR('节点与说明'!H9="不适用",21&gt;'时间线'!$C$9+1),"",IF(AND(21&gt;='节点与说明'!O9,21&lt;='节点与说明'!P9),2,IF(AND(21&gt;='节点与说明'!O9-'节点与说明'!G9,21&lt;'节点与说明'!O9),1,"")))</x:f>
      </x:c>
      <x:c r="AC16" s="13" t="str">
        <x:f>IF(OR('节点与说明'!H9="不适用",22&gt;'时间线'!$C$9+1),"",IF(AND(22&gt;='节点与说明'!O9,22&lt;='节点与说明'!P9),2,IF(AND(22&gt;='节点与说明'!O9-'节点与说明'!G9,22&lt;'节点与说明'!O9),1,"")))</x:f>
      </x:c>
      <x:c r="AD16" s="13" t="str">
        <x:f>IF(OR('节点与说明'!H9="不适用",23&gt;'时间线'!$C$9+1),"",IF(AND(23&gt;='节点与说明'!O9,23&lt;='节点与说明'!P9),2,IF(AND(23&gt;='节点与说明'!O9-'节点与说明'!G9,23&lt;'节点与说明'!O9),1,"")))</x:f>
      </x:c>
      <x:c r="AE16" s="13" t="str">
        <x:f>IF(OR('节点与说明'!H9="不适用",24&gt;'时间线'!$C$9+1),"",IF(AND(24&gt;='节点与说明'!O9,24&lt;='节点与说明'!P9),2,IF(AND(24&gt;='节点与说明'!O9-'节点与说明'!G9,24&lt;'节点与说明'!O9),1,"")))</x:f>
      </x:c>
      <x:c r="AF16" s="13" t="str">
        <x:f>IF(OR('节点与说明'!H9="不适用",25&gt;'时间线'!$C$9+1),"",IF(AND(25&gt;='节点与说明'!O9,25&lt;='节点与说明'!P9),2,IF(AND(25&gt;='节点与说明'!O9-'节点与说明'!G9,25&lt;'节点与说明'!O9),1,"")))</x:f>
      </x:c>
      <x:c r="AG16" s="13" t="str">
        <x:f>IF(OR('节点与说明'!H9="不适用",26&gt;'时间线'!$C$9+1),"",IF(AND(26&gt;='节点与说明'!O9,26&lt;='节点与说明'!P9),2,IF(AND(26&gt;='节点与说明'!O9-'节点与说明'!G9,26&lt;'节点与说明'!O9),1,"")))</x:f>
      </x:c>
      <x:c r="AH16" s="13" t="str">
        <x:f>IF(OR('节点与说明'!H9="不适用",27&gt;'时间线'!$C$9+1),"",IF(AND(27&gt;='节点与说明'!O9,27&lt;='节点与说明'!P9),2,IF(AND(27&gt;='节点与说明'!O9-'节点与说明'!G9,27&lt;'节点与说明'!O9),1,"")))</x:f>
      </x:c>
      <x:c r="AI16" s="13" t="str">
        <x:f>IF(OR('节点与说明'!H9="不适用",28&gt;'时间线'!$C$9+1),"",IF(AND(28&gt;='节点与说明'!O9,28&lt;='节点与说明'!P9),2,IF(AND(28&gt;='节点与说明'!O9-'节点与说明'!G9,28&lt;'节点与说明'!O9),1,"")))</x:f>
      </x:c>
      <x:c r="AJ16" s="13" t="str">
        <x:f>IF(OR('节点与说明'!H9="不适用",29&gt;'时间线'!$C$9+1),"",IF(AND(29&gt;='节点与说明'!O9,29&lt;='节点与说明'!P9),2,IF(AND(29&gt;='节点与说明'!O9-'节点与说明'!G9,29&lt;'节点与说明'!O9),1,"")))</x:f>
      </x:c>
      <x:c r="AK16" s="13" t="str">
        <x:f>IF(OR('节点与说明'!H9="不适用",30&gt;'时间线'!$C$9+1),"",IF(AND(30&gt;='节点与说明'!O9,30&lt;='节点与说明'!P9),2,IF(AND(30&gt;='节点与说明'!O9-'节点与说明'!G9,30&lt;'节点与说明'!O9),1,"")))</x:f>
      </x:c>
      <x:c r="AL16" s="13" t="str">
        <x:f>IF(OR('节点与说明'!H9="不适用",31&gt;'时间线'!$C$9+1),"",IF(AND(31&gt;='节点与说明'!O9,31&lt;='节点与说明'!P9),2,IF(AND(31&gt;='节点与说明'!O9-'节点与说明'!G9,31&lt;'节点与说明'!O9),1,"")))</x:f>
      </x:c>
      <x:c r="AM16" s="13" t="str">
        <x:f>IF(OR('节点与说明'!H9="不适用",32&gt;'时间线'!$C$9+1),"",IF(AND(32&gt;='节点与说明'!O9,32&lt;='节点与说明'!P9),2,IF(AND(32&gt;='节点与说明'!O9-'节点与说明'!G9,32&lt;'节点与说明'!O9),1,"")))</x:f>
      </x:c>
      <x:c r="AN16" s="13" t="str">
        <x:f>IF(OR('节点与说明'!H9="不适用",33&gt;'时间线'!$C$9+1),"",IF(AND(33&gt;='节点与说明'!O9,33&lt;='节点与说明'!P9),2,IF(AND(33&gt;='节点与说明'!O9-'节点与说明'!G9,33&lt;'节点与说明'!O9),1,"")))</x:f>
      </x:c>
      <x:c r="AO16" s="13" t="str">
        <x:f>IF(OR('节点与说明'!H9="不适用",34&gt;'时间线'!$C$9+1),"",IF(AND(34&gt;='节点与说明'!O9,34&lt;='节点与说明'!P9),2,IF(AND(34&gt;='节点与说明'!O9-'节点与说明'!G9,34&lt;'节点与说明'!O9),1,"")))</x:f>
      </x:c>
      <x:c r="AP16" s="13" t="str">
        <x:f>IF(OR('节点与说明'!H9="不适用",35&gt;'时间线'!$C$9+1),"",IF(AND(35&gt;='节点与说明'!O9,35&lt;='节点与说明'!P9),2,IF(AND(35&gt;='节点与说明'!O9-'节点与说明'!G9,35&lt;'节点与说明'!O9),1,"")))</x:f>
      </x:c>
      <x:c r="AQ16" s="2"/>
      <x:c r="AR16" s="11" t="str">
        <x:f>'节点与说明'!N9</x:f>
        <x:v>每学期选课前检查开课周期，优先处理一年只开一次的必修课。</x:v>
      </x:c>
    </x:row>
    <x:row r="17" ht="38" customHeight="1">
      <x:c r="A17" s="2" t="str">
        <x:f>'节点与说明'!A10</x:f>
        <x:v>A19</x:v>
      </x:c>
      <x:c r="B17" s="15" t="str">
        <x:f>'节点与说明'!B10</x:f>
        <x:v>培养</x:v>
      </x:c>
      <x:c r="C17" s="11" t="str">
        <x:f>'节点与说明'!C10</x:f>
        <x:v>学术活动／技术报告积累</x:v>
      </x:c>
      <x:c r="D17" s="2" t="str">
        <x:f>'节点与说明'!H10</x:f>
        <x:v>待确认</x:v>
      </x:c>
      <x:c r="E17" s="2" t="n">
        <x:f>'节点与说明'!G10</x:f>
        <x:v>0</x:v>
      </x:c>
      <x:c r="F17" s="2" t="str">
        <x:f>'节点与说明'!S10</x:f>
        <x:v>研1·9月</x:v>
      </x:c>
      <x:c r="G17" s="13" t="n">
        <x:f>IF(OR('节点与说明'!H10="不适用",0&gt;'时间线'!$C$9+1),"",IF(AND(0&gt;='节点与说明'!O10,0&lt;='节点与说明'!P10),2,IF(AND(0&gt;='节点与说明'!O10-'节点与说明'!G10,0&lt;'节点与说明'!O10),1,"")))</x:f>
        <x:v>2</x:v>
      </x:c>
      <x:c r="H17" s="13" t="n">
        <x:f>IF(OR('节点与说明'!H10="不适用",1&gt;'时间线'!$C$9+1),"",IF(AND(1&gt;='节点与说明'!O10,1&lt;='节点与说明'!P10),2,IF(AND(1&gt;='节点与说明'!O10-'节点与说明'!G10,1&lt;'节点与说明'!O10),1,"")))</x:f>
        <x:v>2</x:v>
      </x:c>
      <x:c r="I17" s="13" t="n">
        <x:f>IF(OR('节点与说明'!H10="不适用",2&gt;'时间线'!$C$9+1),"",IF(AND(2&gt;='节点与说明'!O10,2&lt;='节点与说明'!P10),2,IF(AND(2&gt;='节点与说明'!O10-'节点与说明'!G10,2&lt;'节点与说明'!O10),1,"")))</x:f>
        <x:v>2</x:v>
      </x:c>
      <x:c r="J17" s="13" t="n">
        <x:f>IF(OR('节点与说明'!H10="不适用",3&gt;'时间线'!$C$9+1),"",IF(AND(3&gt;='节点与说明'!O10,3&lt;='节点与说明'!P10),2,IF(AND(3&gt;='节点与说明'!O10-'节点与说明'!G10,3&lt;'节点与说明'!O10),1,"")))</x:f>
        <x:v>2</x:v>
      </x:c>
      <x:c r="K17" s="13" t="n">
        <x:f>IF(OR('节点与说明'!H10="不适用",4&gt;'时间线'!$C$9+1),"",IF(AND(4&gt;='节点与说明'!O10,4&lt;='节点与说明'!P10),2,IF(AND(4&gt;='节点与说明'!O10-'节点与说明'!G10,4&lt;'节点与说明'!O10),1,"")))</x:f>
        <x:v>2</x:v>
      </x:c>
      <x:c r="L17" s="13" t="n">
        <x:f>IF(OR('节点与说明'!H10="不适用",5&gt;'时间线'!$C$9+1),"",IF(AND(5&gt;='节点与说明'!O10,5&lt;='节点与说明'!P10),2,IF(AND(5&gt;='节点与说明'!O10-'节点与说明'!G10,5&lt;'节点与说明'!O10),1,"")))</x:f>
        <x:v>2</x:v>
      </x:c>
      <x:c r="M17" s="13" t="n">
        <x:f>IF(OR('节点与说明'!H10="不适用",6&gt;'时间线'!$C$9+1),"",IF(AND(6&gt;='节点与说明'!O10,6&lt;='节点与说明'!P10),2,IF(AND(6&gt;='节点与说明'!O10-'节点与说明'!G10,6&lt;'节点与说明'!O10),1,"")))</x:f>
        <x:v>2</x:v>
      </x:c>
      <x:c r="N17" s="13" t="n">
        <x:f>IF(OR('节点与说明'!H10="不适用",7&gt;'时间线'!$C$9+1),"",IF(AND(7&gt;='节点与说明'!O10,7&lt;='节点与说明'!P10),2,IF(AND(7&gt;='节点与说明'!O10-'节点与说明'!G10,7&lt;'节点与说明'!O10),1,"")))</x:f>
        <x:v>2</x:v>
      </x:c>
      <x:c r="O17" s="13" t="n">
        <x:f>IF(OR('节点与说明'!H10="不适用",8&gt;'时间线'!$C$9+1),"",IF(AND(8&gt;='节点与说明'!O10,8&lt;='节点与说明'!P10),2,IF(AND(8&gt;='节点与说明'!O10-'节点与说明'!G10,8&lt;'节点与说明'!O10),1,"")))</x:f>
        <x:v>2</x:v>
      </x:c>
      <x:c r="P17" s="13" t="n">
        <x:f>IF(OR('节点与说明'!H10="不适用",9&gt;'时间线'!$C$9+1),"",IF(AND(9&gt;='节点与说明'!O10,9&lt;='节点与说明'!P10),2,IF(AND(9&gt;='节点与说明'!O10-'节点与说明'!G10,9&lt;'节点与说明'!O10),1,"")))</x:f>
        <x:v>2</x:v>
      </x:c>
      <x:c r="Q17" s="13" t="n">
        <x:f>IF(OR('节点与说明'!H10="不适用",10&gt;'时间线'!$C$9+1),"",IF(AND(10&gt;='节点与说明'!O10,10&lt;='节点与说明'!P10),2,IF(AND(10&gt;='节点与说明'!O10-'节点与说明'!G10,10&lt;'节点与说明'!O10),1,"")))</x:f>
        <x:v>2</x:v>
      </x:c>
      <x:c r="R17" s="13" t="n">
        <x:f>IF(OR('节点与说明'!H10="不适用",11&gt;'时间线'!$C$9+1),"",IF(AND(11&gt;='节点与说明'!O10,11&lt;='节点与说明'!P10),2,IF(AND(11&gt;='节点与说明'!O10-'节点与说明'!G10,11&lt;'节点与说明'!O10),1,"")))</x:f>
        <x:v>2</x:v>
      </x:c>
      <x:c r="S17" s="13" t="n">
        <x:f>IF(OR('节点与说明'!H10="不适用",12&gt;'时间线'!$C$9+1),"",IF(AND(12&gt;='节点与说明'!O10,12&lt;='节点与说明'!P10),2,IF(AND(12&gt;='节点与说明'!O10-'节点与说明'!G10,12&lt;'节点与说明'!O10),1,"")))</x:f>
        <x:v>2</x:v>
      </x:c>
      <x:c r="T17" s="13" t="n">
        <x:f>IF(OR('节点与说明'!H10="不适用",13&gt;'时间线'!$C$9+1),"",IF(AND(13&gt;='节点与说明'!O10,13&lt;='节点与说明'!P10),2,IF(AND(13&gt;='节点与说明'!O10-'节点与说明'!G10,13&lt;'节点与说明'!O10),1,"")))</x:f>
        <x:v>2</x:v>
      </x:c>
      <x:c r="U17" s="13" t="n">
        <x:f>IF(OR('节点与说明'!H10="不适用",14&gt;'时间线'!$C$9+1),"",IF(AND(14&gt;='节点与说明'!O10,14&lt;='节点与说明'!P10),2,IF(AND(14&gt;='节点与说明'!O10-'节点与说明'!G10,14&lt;'节点与说明'!O10),1,"")))</x:f>
        <x:v>2</x:v>
      </x:c>
      <x:c r="V17" s="13" t="n">
        <x:f>IF(OR('节点与说明'!H10="不适用",15&gt;'时间线'!$C$9+1),"",IF(AND(15&gt;='节点与说明'!O10,15&lt;='节点与说明'!P10),2,IF(AND(15&gt;='节点与说明'!O10-'节点与说明'!G10,15&lt;'节点与说明'!O10),1,"")))</x:f>
        <x:v>2</x:v>
      </x:c>
      <x:c r="W17" s="13" t="n">
        <x:f>IF(OR('节点与说明'!H10="不适用",16&gt;'时间线'!$C$9+1),"",IF(AND(16&gt;='节点与说明'!O10,16&lt;='节点与说明'!P10),2,IF(AND(16&gt;='节点与说明'!O10-'节点与说明'!G10,16&lt;'节点与说明'!O10),1,"")))</x:f>
        <x:v>2</x:v>
      </x:c>
      <x:c r="X17" s="13" t="n">
        <x:f>IF(OR('节点与说明'!H10="不适用",17&gt;'时间线'!$C$9+1),"",IF(AND(17&gt;='节点与说明'!O10,17&lt;='节点与说明'!P10),2,IF(AND(17&gt;='节点与说明'!O10-'节点与说明'!G10,17&lt;'节点与说明'!O10),1,"")))</x:f>
        <x:v>2</x:v>
      </x:c>
      <x:c r="Y17" s="13" t="n">
        <x:f>IF(OR('节点与说明'!H10="不适用",18&gt;'时间线'!$C$9+1),"",IF(AND(18&gt;='节点与说明'!O10,18&lt;='节点与说明'!P10),2,IF(AND(18&gt;='节点与说明'!O10-'节点与说明'!G10,18&lt;'节点与说明'!O10),1,"")))</x:f>
        <x:v>2</x:v>
      </x:c>
      <x:c r="Z17" s="13" t="n">
        <x:f>IF(OR('节点与说明'!H10="不适用",19&gt;'时间线'!$C$9+1),"",IF(AND(19&gt;='节点与说明'!O10,19&lt;='节点与说明'!P10),2,IF(AND(19&gt;='节点与说明'!O10-'节点与说明'!G10,19&lt;'节点与说明'!O10),1,"")))</x:f>
        <x:v>2</x:v>
      </x:c>
      <x:c r="AA17" s="13" t="n">
        <x:f>IF(OR('节点与说明'!H10="不适用",20&gt;'时间线'!$C$9+1),"",IF(AND(20&gt;='节点与说明'!O10,20&lt;='节点与说明'!P10),2,IF(AND(20&gt;='节点与说明'!O10-'节点与说明'!G10,20&lt;'节点与说明'!O10),1,"")))</x:f>
        <x:v>2</x:v>
      </x:c>
      <x:c r="AB17" s="13" t="n">
        <x:f>IF(OR('节点与说明'!H10="不适用",21&gt;'时间线'!$C$9+1),"",IF(AND(21&gt;='节点与说明'!O10,21&lt;='节点与说明'!P10),2,IF(AND(21&gt;='节点与说明'!O10-'节点与说明'!G10,21&lt;'节点与说明'!O10),1,"")))</x:f>
        <x:v>2</x:v>
      </x:c>
      <x:c r="AC17" s="13" t="n">
        <x:f>IF(OR('节点与说明'!H10="不适用",22&gt;'时间线'!$C$9+1),"",IF(AND(22&gt;='节点与说明'!O10,22&lt;='节点与说明'!P10),2,IF(AND(22&gt;='节点与说明'!O10-'节点与说明'!G10,22&lt;'节点与说明'!O10),1,"")))</x:f>
        <x:v>2</x:v>
      </x:c>
      <x:c r="AD17" s="13" t="n">
        <x:f>IF(OR('节点与说明'!H10="不适用",23&gt;'时间线'!$C$9+1),"",IF(AND(23&gt;='节点与说明'!O10,23&lt;='节点与说明'!P10),2,IF(AND(23&gt;='节点与说明'!O10-'节点与说明'!G10,23&lt;'节点与说明'!O10),1,"")))</x:f>
        <x:v>2</x:v>
      </x:c>
      <x:c r="AE17" s="13" t="n">
        <x:f>IF(OR('节点与说明'!H10="不适用",24&gt;'时间线'!$C$9+1),"",IF(AND(24&gt;='节点与说明'!O10,24&lt;='节点与说明'!P10),2,IF(AND(24&gt;='节点与说明'!O10-'节点与说明'!G10,24&lt;'节点与说明'!O10),1,"")))</x:f>
        <x:v>2</x:v>
      </x:c>
      <x:c r="AF17" s="13" t="n">
        <x:f>IF(OR('节点与说明'!H10="不适用",25&gt;'时间线'!$C$9+1),"",IF(AND(25&gt;='节点与说明'!O10,25&lt;='节点与说明'!P10),2,IF(AND(25&gt;='节点与说明'!O10-'节点与说明'!G10,25&lt;'节点与说明'!O10),1,"")))</x:f>
        <x:v>2</x:v>
      </x:c>
      <x:c r="AG17" s="13" t="n">
        <x:f>IF(OR('节点与说明'!H10="不适用",26&gt;'时间线'!$C$9+1),"",IF(AND(26&gt;='节点与说明'!O10,26&lt;='节点与说明'!P10),2,IF(AND(26&gt;='节点与说明'!O10-'节点与说明'!G10,26&lt;'节点与说明'!O10),1,"")))</x:f>
        <x:v>2</x:v>
      </x:c>
      <x:c r="AH17" s="13" t="n">
        <x:f>IF(OR('节点与说明'!H10="不适用",27&gt;'时间线'!$C$9+1),"",IF(AND(27&gt;='节点与说明'!O10,27&lt;='节点与说明'!P10),2,IF(AND(27&gt;='节点与说明'!O10-'节点与说明'!G10,27&lt;'节点与说明'!O10),1,"")))</x:f>
        <x:v>2</x:v>
      </x:c>
      <x:c r="AI17" s="13" t="n">
        <x:f>IF(OR('节点与说明'!H10="不适用",28&gt;'时间线'!$C$9+1),"",IF(AND(28&gt;='节点与说明'!O10,28&lt;='节点与说明'!P10),2,IF(AND(28&gt;='节点与说明'!O10-'节点与说明'!G10,28&lt;'节点与说明'!O10),1,"")))</x:f>
        <x:v>2</x:v>
      </x:c>
      <x:c r="AJ17" s="13" t="n">
        <x:f>IF(OR('节点与说明'!H10="不适用",29&gt;'时间线'!$C$9+1),"",IF(AND(29&gt;='节点与说明'!O10,29&lt;='节点与说明'!P10),2,IF(AND(29&gt;='节点与说明'!O10-'节点与说明'!G10,29&lt;'节点与说明'!O10),1,"")))</x:f>
        <x:v>2</x:v>
      </x:c>
      <x:c r="AK17" s="13" t="n">
        <x:f>IF(OR('节点与说明'!H10="不适用",30&gt;'时间线'!$C$9+1),"",IF(AND(30&gt;='节点与说明'!O10,30&lt;='节点与说明'!P10),2,IF(AND(30&gt;='节点与说明'!O10-'节点与说明'!G10,30&lt;'节点与说明'!O10),1,"")))</x:f>
        <x:v>2</x:v>
      </x:c>
      <x:c r="AL17" s="13" t="n">
        <x:f>IF(OR('节点与说明'!H10="不适用",31&gt;'时间线'!$C$9+1),"",IF(AND(31&gt;='节点与说明'!O10,31&lt;='节点与说明'!P10),2,IF(AND(31&gt;='节点与说明'!O10-'节点与说明'!G10,31&lt;'节点与说明'!O10),1,"")))</x:f>
        <x:v>2</x:v>
      </x:c>
      <x:c r="AM17" s="13" t="str">
        <x:f>IF(OR('节点与说明'!H10="不适用",32&gt;'时间线'!$C$9+1),"",IF(AND(32&gt;='节点与说明'!O10,32&lt;='节点与说明'!P10),2,IF(AND(32&gt;='节点与说明'!O10-'节点与说明'!G10,32&lt;'节点与说明'!O10),1,"")))</x:f>
      </x:c>
      <x:c r="AN17" s="13" t="str">
        <x:f>IF(OR('节点与说明'!H10="不适用",33&gt;'时间线'!$C$9+1),"",IF(AND(33&gt;='节点与说明'!O10,33&lt;='节点与说明'!P10),2,IF(AND(33&gt;='节点与说明'!O10-'节点与说明'!G10,33&lt;'节点与说明'!O10),1,"")))</x:f>
      </x:c>
      <x:c r="AO17" s="13" t="str">
        <x:f>IF(OR('节点与说明'!H10="不适用",34&gt;'时间线'!$C$9+1),"",IF(AND(34&gt;='节点与说明'!O10,34&lt;='节点与说明'!P10),2,IF(AND(34&gt;='节点与说明'!O10-'节点与说明'!G10,34&lt;'节点与说明'!O10),1,"")))</x:f>
      </x:c>
      <x:c r="AP17" s="13" t="str">
        <x:f>IF(OR('节点与说明'!H10="不适用",35&gt;'时间线'!$C$9+1),"",IF(AND(35&gt;='节点与说明'!O10,35&lt;='节点与说明'!P10),2,IF(AND(35&gt;='节点与说明'!O10-'节点与说明'!G10,35&lt;'节点与说明'!O10),1,"")))</x:f>
      </x:c>
      <x:c r="AQ17" s="2"/>
      <x:c r="AR17" s="11" t="str">
        <x:f>'节点与说明'!N10</x:f>
        <x:v>每学期均匀安排，参加后立即登记。</x:v>
      </x:c>
    </x:row>
    <x:row r="18" ht="38" customHeight="1">
      <x:c r="A18" s="2" t="str">
        <x:f>'节点与说明'!A11</x:f>
        <x:v>A03</x:v>
      </x:c>
      <x:c r="B18" s="15" t="str">
        <x:f>'节点与说明'!B11</x:f>
        <x:v>培养</x:v>
      </x:c>
      <x:c r="C18" s="11" t="str">
        <x:f>'节点与说明'!C11</x:f>
        <x:v>选题与开题材料准备</x:v>
      </x:c>
      <x:c r="D18" s="2" t="str">
        <x:f>'节点与说明'!H11</x:f>
        <x:v>待确认</x:v>
      </x:c>
      <x:c r="E18" s="2" t="n">
        <x:f>'节点与说明'!G11</x:f>
        <x:v>1</x:v>
      </x:c>
      <x:c r="F18" s="2" t="str">
        <x:f>'节点与说明'!S11</x:f>
        <x:v>研1·11月</x:v>
      </x:c>
      <x:c r="G18" s="13" t="str">
        <x:f>IF(OR('节点与说明'!H11="不适用",0&gt;'时间线'!$C$9+1),"",IF(AND(0&gt;='节点与说明'!O11,0&lt;='节点与说明'!P11),2,IF(AND(0&gt;='节点与说明'!O11-'节点与说明'!G11,0&lt;'节点与说明'!O11),1,"")))</x:f>
      </x:c>
      <x:c r="H18" s="13" t="str">
        <x:f>IF(OR('节点与说明'!H11="不适用",1&gt;'时间线'!$C$9+1),"",IF(AND(1&gt;='节点与说明'!O11,1&lt;='节点与说明'!P11),2,IF(AND(1&gt;='节点与说明'!O11-'节点与说明'!G11,1&lt;'节点与说明'!O11),1,"")))</x:f>
      </x:c>
      <x:c r="I18" s="13" t="n">
        <x:f>IF(OR('节点与说明'!H11="不适用",2&gt;'时间线'!$C$9+1),"",IF(AND(2&gt;='节点与说明'!O11,2&lt;='节点与说明'!P11),2,IF(AND(2&gt;='节点与说明'!O11-'节点与说明'!G11,2&lt;'节点与说明'!O11),1,"")))</x:f>
        <x:v>1</x:v>
      </x:c>
      <x:c r="J18" s="13" t="n">
        <x:f>IF(OR('节点与说明'!H11="不适用",3&gt;'时间线'!$C$9+1),"",IF(AND(3&gt;='节点与说明'!O11,3&lt;='节点与说明'!P11),2,IF(AND(3&gt;='节点与说明'!O11-'节点与说明'!G11,3&lt;'节点与说明'!O11),1,"")))</x:f>
        <x:v>2</x:v>
      </x:c>
      <x:c r="K18" s="13" t="n">
        <x:f>IF(OR('节点与说明'!H11="不适用",4&gt;'时间线'!$C$9+1),"",IF(AND(4&gt;='节点与说明'!O11,4&lt;='节点与说明'!P11),2,IF(AND(4&gt;='节点与说明'!O11-'节点与说明'!G11,4&lt;'节点与说明'!O11),1,"")))</x:f>
        <x:v>2</x:v>
      </x:c>
      <x:c r="L18" s="13" t="n">
        <x:f>IF(OR('节点与说明'!H11="不适用",5&gt;'时间线'!$C$9+1),"",IF(AND(5&gt;='节点与说明'!O11,5&lt;='节点与说明'!P11),2,IF(AND(5&gt;='节点与说明'!O11-'节点与说明'!G11,5&lt;'节点与说明'!O11),1,"")))</x:f>
        <x:v>2</x:v>
      </x:c>
      <x:c r="M18" s="13" t="n">
        <x:f>IF(OR('节点与说明'!H11="不适用",6&gt;'时间线'!$C$9+1),"",IF(AND(6&gt;='节点与说明'!O11,6&lt;='节点与说明'!P11),2,IF(AND(6&gt;='节点与说明'!O11-'节点与说明'!G11,6&lt;'节点与说明'!O11),1,"")))</x:f>
        <x:v>2</x:v>
      </x:c>
      <x:c r="N18" s="13" t="n">
        <x:f>IF(OR('节点与说明'!H11="不适用",7&gt;'时间线'!$C$9+1),"",IF(AND(7&gt;='节点与说明'!O11,7&lt;='节点与说明'!P11),2,IF(AND(7&gt;='节点与说明'!O11-'节点与说明'!G11,7&lt;'节点与说明'!O11),1,"")))</x:f>
        <x:v>2</x:v>
      </x:c>
      <x:c r="O18" s="13" t="n">
        <x:f>IF(OR('节点与说明'!H11="不适用",8&gt;'时间线'!$C$9+1),"",IF(AND(8&gt;='节点与说明'!O11,8&lt;='节点与说明'!P11),2,IF(AND(8&gt;='节点与说明'!O11-'节点与说明'!G11,8&lt;'节点与说明'!O11),1,"")))</x:f>
        <x:v>2</x:v>
      </x:c>
      <x:c r="P18" s="13" t="str">
        <x:f>IF(OR('节点与说明'!H11="不适用",9&gt;'时间线'!$C$9+1),"",IF(AND(9&gt;='节点与说明'!O11,9&lt;='节点与说明'!P11),2,IF(AND(9&gt;='节点与说明'!O11-'节点与说明'!G11,9&lt;'节点与说明'!O11),1,"")))</x:f>
      </x:c>
      <x:c r="Q18" s="13" t="str">
        <x:f>IF(OR('节点与说明'!H11="不适用",10&gt;'时间线'!$C$9+1),"",IF(AND(10&gt;='节点与说明'!O11,10&lt;='节点与说明'!P11),2,IF(AND(10&gt;='节点与说明'!O11-'节点与说明'!G11,10&lt;'节点与说明'!O11),1,"")))</x:f>
      </x:c>
      <x:c r="R18" s="13" t="str">
        <x:f>IF(OR('节点与说明'!H11="不适用",11&gt;'时间线'!$C$9+1),"",IF(AND(11&gt;='节点与说明'!O11,11&lt;='节点与说明'!P11),2,IF(AND(11&gt;='节点与说明'!O11-'节点与说明'!G11,11&lt;'节点与说明'!O11),1,"")))</x:f>
      </x:c>
      <x:c r="S18" s="13" t="str">
        <x:f>IF(OR('节点与说明'!H11="不适用",12&gt;'时间线'!$C$9+1),"",IF(AND(12&gt;='节点与说明'!O11,12&lt;='节点与说明'!P11),2,IF(AND(12&gt;='节点与说明'!O11-'节点与说明'!G11,12&lt;'节点与说明'!O11),1,"")))</x:f>
      </x:c>
      <x:c r="T18" s="13" t="str">
        <x:f>IF(OR('节点与说明'!H11="不适用",13&gt;'时间线'!$C$9+1),"",IF(AND(13&gt;='节点与说明'!O11,13&lt;='节点与说明'!P11),2,IF(AND(13&gt;='节点与说明'!O11-'节点与说明'!G11,13&lt;'节点与说明'!O11),1,"")))</x:f>
      </x:c>
      <x:c r="U18" s="13" t="str">
        <x:f>IF(OR('节点与说明'!H11="不适用",14&gt;'时间线'!$C$9+1),"",IF(AND(14&gt;='节点与说明'!O11,14&lt;='节点与说明'!P11),2,IF(AND(14&gt;='节点与说明'!O11-'节点与说明'!G11,14&lt;'节点与说明'!O11),1,"")))</x:f>
      </x:c>
      <x:c r="V18" s="13" t="str">
        <x:f>IF(OR('节点与说明'!H11="不适用",15&gt;'时间线'!$C$9+1),"",IF(AND(15&gt;='节点与说明'!O11,15&lt;='节点与说明'!P11),2,IF(AND(15&gt;='节点与说明'!O11-'节点与说明'!G11,15&lt;'节点与说明'!O11),1,"")))</x:f>
      </x:c>
      <x:c r="W18" s="13" t="str">
        <x:f>IF(OR('节点与说明'!H11="不适用",16&gt;'时间线'!$C$9+1),"",IF(AND(16&gt;='节点与说明'!O11,16&lt;='节点与说明'!P11),2,IF(AND(16&gt;='节点与说明'!O11-'节点与说明'!G11,16&lt;'节点与说明'!O11),1,"")))</x:f>
      </x:c>
      <x:c r="X18" s="13" t="str">
        <x:f>IF(OR('节点与说明'!H11="不适用",17&gt;'时间线'!$C$9+1),"",IF(AND(17&gt;='节点与说明'!O11,17&lt;='节点与说明'!P11),2,IF(AND(17&gt;='节点与说明'!O11-'节点与说明'!G11,17&lt;'节点与说明'!O11),1,"")))</x:f>
      </x:c>
      <x:c r="Y18" s="13" t="str">
        <x:f>IF(OR('节点与说明'!H11="不适用",18&gt;'时间线'!$C$9+1),"",IF(AND(18&gt;='节点与说明'!O11,18&lt;='节点与说明'!P11),2,IF(AND(18&gt;='节点与说明'!O11-'节点与说明'!G11,18&lt;'节点与说明'!O11),1,"")))</x:f>
      </x:c>
      <x:c r="Z18" s="13" t="str">
        <x:f>IF(OR('节点与说明'!H11="不适用",19&gt;'时间线'!$C$9+1),"",IF(AND(19&gt;='节点与说明'!O11,19&lt;='节点与说明'!P11),2,IF(AND(19&gt;='节点与说明'!O11-'节点与说明'!G11,19&lt;'节点与说明'!O11),1,"")))</x:f>
      </x:c>
      <x:c r="AA18" s="13" t="str">
        <x:f>IF(OR('节点与说明'!H11="不适用",20&gt;'时间线'!$C$9+1),"",IF(AND(20&gt;='节点与说明'!O11,20&lt;='节点与说明'!P11),2,IF(AND(20&gt;='节点与说明'!O11-'节点与说明'!G11,20&lt;'节点与说明'!O11),1,"")))</x:f>
      </x:c>
      <x:c r="AB18" s="13" t="str">
        <x:f>IF(OR('节点与说明'!H11="不适用",21&gt;'时间线'!$C$9+1),"",IF(AND(21&gt;='节点与说明'!O11,21&lt;='节点与说明'!P11),2,IF(AND(21&gt;='节点与说明'!O11-'节点与说明'!G11,21&lt;'节点与说明'!O11),1,"")))</x:f>
      </x:c>
      <x:c r="AC18" s="13" t="str">
        <x:f>IF(OR('节点与说明'!H11="不适用",22&gt;'时间线'!$C$9+1),"",IF(AND(22&gt;='节点与说明'!O11,22&lt;='节点与说明'!P11),2,IF(AND(22&gt;='节点与说明'!O11-'节点与说明'!G11,22&lt;'节点与说明'!O11),1,"")))</x:f>
      </x:c>
      <x:c r="AD18" s="13" t="str">
        <x:f>IF(OR('节点与说明'!H11="不适用",23&gt;'时间线'!$C$9+1),"",IF(AND(23&gt;='节点与说明'!O11,23&lt;='节点与说明'!P11),2,IF(AND(23&gt;='节点与说明'!O11-'节点与说明'!G11,23&lt;'节点与说明'!O11),1,"")))</x:f>
      </x:c>
      <x:c r="AE18" s="13" t="str">
        <x:f>IF(OR('节点与说明'!H11="不适用",24&gt;'时间线'!$C$9+1),"",IF(AND(24&gt;='节点与说明'!O11,24&lt;='节点与说明'!P11),2,IF(AND(24&gt;='节点与说明'!O11-'节点与说明'!G11,24&lt;'节点与说明'!O11),1,"")))</x:f>
      </x:c>
      <x:c r="AF18" s="13" t="str">
        <x:f>IF(OR('节点与说明'!H11="不适用",25&gt;'时间线'!$C$9+1),"",IF(AND(25&gt;='节点与说明'!O11,25&lt;='节点与说明'!P11),2,IF(AND(25&gt;='节点与说明'!O11-'节点与说明'!G11,25&lt;'节点与说明'!O11),1,"")))</x:f>
      </x:c>
      <x:c r="AG18" s="13" t="str">
        <x:f>IF(OR('节点与说明'!H11="不适用",26&gt;'时间线'!$C$9+1),"",IF(AND(26&gt;='节点与说明'!O11,26&lt;='节点与说明'!P11),2,IF(AND(26&gt;='节点与说明'!O11-'节点与说明'!G11,26&lt;'节点与说明'!O11),1,"")))</x:f>
      </x:c>
      <x:c r="AH18" s="13" t="str">
        <x:f>IF(OR('节点与说明'!H11="不适用",27&gt;'时间线'!$C$9+1),"",IF(AND(27&gt;='节点与说明'!O11,27&lt;='节点与说明'!P11),2,IF(AND(27&gt;='节点与说明'!O11-'节点与说明'!G11,27&lt;'节点与说明'!O11),1,"")))</x:f>
      </x:c>
      <x:c r="AI18" s="13" t="str">
        <x:f>IF(OR('节点与说明'!H11="不适用",28&gt;'时间线'!$C$9+1),"",IF(AND(28&gt;='节点与说明'!O11,28&lt;='节点与说明'!P11),2,IF(AND(28&gt;='节点与说明'!O11-'节点与说明'!G11,28&lt;'节点与说明'!O11),1,"")))</x:f>
      </x:c>
      <x:c r="AJ18" s="13" t="str">
        <x:f>IF(OR('节点与说明'!H11="不适用",29&gt;'时间线'!$C$9+1),"",IF(AND(29&gt;='节点与说明'!O11,29&lt;='节点与说明'!P11),2,IF(AND(29&gt;='节点与说明'!O11-'节点与说明'!G11,29&lt;'节点与说明'!O11),1,"")))</x:f>
      </x:c>
      <x:c r="AK18" s="13" t="str">
        <x:f>IF(OR('节点与说明'!H11="不适用",30&gt;'时间线'!$C$9+1),"",IF(AND(30&gt;='节点与说明'!O11,30&lt;='节点与说明'!P11),2,IF(AND(30&gt;='节点与说明'!O11-'节点与说明'!G11,30&lt;'节点与说明'!O11),1,"")))</x:f>
      </x:c>
      <x:c r="AL18" s="13" t="str">
        <x:f>IF(OR('节点与说明'!H11="不适用",31&gt;'时间线'!$C$9+1),"",IF(AND(31&gt;='节点与说明'!O11,31&lt;='节点与说明'!P11),2,IF(AND(31&gt;='节点与说明'!O11-'节点与说明'!G11,31&lt;'节点与说明'!O11),1,"")))</x:f>
      </x:c>
      <x:c r="AM18" s="13" t="str">
        <x:f>IF(OR('节点与说明'!H11="不适用",32&gt;'时间线'!$C$9+1),"",IF(AND(32&gt;='节点与说明'!O11,32&lt;='节点与说明'!P11),2,IF(AND(32&gt;='节点与说明'!O11-'节点与说明'!G11,32&lt;'节点与说明'!O11),1,"")))</x:f>
      </x:c>
      <x:c r="AN18" s="13" t="str">
        <x:f>IF(OR('节点与说明'!H11="不适用",33&gt;'时间线'!$C$9+1),"",IF(AND(33&gt;='节点与说明'!O11,33&lt;='节点与说明'!P11),2,IF(AND(33&gt;='节点与说明'!O11-'节点与说明'!G11,33&lt;'节点与说明'!O11),1,"")))</x:f>
      </x:c>
      <x:c r="AO18" s="13" t="str">
        <x:f>IF(OR('节点与说明'!H11="不适用",34&gt;'时间线'!$C$9+1),"",IF(AND(34&gt;='节点与说明'!O11,34&lt;='节点与说明'!P11),2,IF(AND(34&gt;='节点与说明'!O11-'节点与说明'!G11,34&lt;'节点与说明'!O11),1,"")))</x:f>
      </x:c>
      <x:c r="AP18" s="13" t="str">
        <x:f>IF(OR('节点与说明'!H11="不适用",35&gt;'时间线'!$C$9+1),"",IF(AND(35&gt;='节点与说明'!O11,35&lt;='节点与说明'!P11),2,IF(AND(35&gt;='节点与说明'!O11-'节点与说明'!G11,35&lt;'节点与说明'!O11),1,"")))</x:f>
      </x:c>
      <x:c r="AQ18" s="2"/>
      <x:c r="AR18" s="11" t="str">
        <x:f>'节点与说明'!N11</x:f>
        <x:v>先确认导师研究方向与数据权限，计划至少一轮选题调整。</x:v>
      </x:c>
    </x:row>
    <x:row r="19" ht="38" customHeight="1">
      <x:c r="A19" s="2" t="str">
        <x:f>'节点与说明'!A12</x:f>
        <x:v>A04</x:v>
      </x:c>
      <x:c r="B19" s="15" t="str">
        <x:f>'节点与说明'!B12</x:f>
        <x:v>培养</x:v>
      </x:c>
      <x:c r="C19" s="11" t="str">
        <x:f>'节点与说明'!C12</x:f>
        <x:v>开题／实践成果可行性论证</x:v>
      </x:c>
      <x:c r="D19" s="2" t="str">
        <x:f>'节点与说明'!H12</x:f>
        <x:v>待确认</x:v>
      </x:c>
      <x:c r="E19" s="2" t="n">
        <x:f>'节点与说明'!G12</x:f>
        <x:v>3</x:v>
      </x:c>
      <x:c r="F19" s="2" t="str">
        <x:f>'节点与说明'!S12</x:f>
        <x:v>研1·3月</x:v>
      </x:c>
      <x:c r="G19" s="13" t="str">
        <x:f>IF(OR('节点与说明'!H12="不适用",0&gt;'时间线'!$C$9+1),"",IF(AND(0&gt;='节点与说明'!O12,0&lt;='节点与说明'!P12),2,IF(AND(0&gt;='节点与说明'!O12-'节点与说明'!G12,0&lt;'节点与说明'!O12),1,"")))</x:f>
      </x:c>
      <x:c r="H19" s="13" t="str">
        <x:f>IF(OR('节点与说明'!H12="不适用",1&gt;'时间线'!$C$9+1),"",IF(AND(1&gt;='节点与说明'!O12,1&lt;='节点与说明'!P12),2,IF(AND(1&gt;='节点与说明'!O12-'节点与说明'!G12,1&lt;'节点与说明'!O12),1,"")))</x:f>
      </x:c>
      <x:c r="I19" s="13" t="str">
        <x:f>IF(OR('节点与说明'!H12="不适用",2&gt;'时间线'!$C$9+1),"",IF(AND(2&gt;='节点与说明'!O12,2&lt;='节点与说明'!P12),2,IF(AND(2&gt;='节点与说明'!O12-'节点与说明'!G12,2&lt;'节点与说明'!O12),1,"")))</x:f>
      </x:c>
      <x:c r="J19" s="13" t="str">
        <x:f>IF(OR('节点与说明'!H12="不适用",3&gt;'时间线'!$C$9+1),"",IF(AND(3&gt;='节点与说明'!O12,3&lt;='节点与说明'!P12),2,IF(AND(3&gt;='节点与说明'!O12-'节点与说明'!G12,3&lt;'节点与说明'!O12),1,"")))</x:f>
      </x:c>
      <x:c r="K19" s="13" t="str">
        <x:f>IF(OR('节点与说明'!H12="不适用",4&gt;'时间线'!$C$9+1),"",IF(AND(4&gt;='节点与说明'!O12,4&lt;='节点与说明'!P12),2,IF(AND(4&gt;='节点与说明'!O12-'节点与说明'!G12,4&lt;'节点与说明'!O12),1,"")))</x:f>
      </x:c>
      <x:c r="L19" s="13" t="str">
        <x:f>IF(OR('节点与说明'!H12="不适用",5&gt;'时间线'!$C$9+1),"",IF(AND(5&gt;='节点与说明'!O12,5&lt;='节点与说明'!P12),2,IF(AND(5&gt;='节点与说明'!O12-'节点与说明'!G12,5&lt;'节点与说明'!O12),1,"")))</x:f>
      </x:c>
      <x:c r="M19" s="13" t="n">
        <x:f>IF(OR('节点与说明'!H12="不适用",6&gt;'时间线'!$C$9+1),"",IF(AND(6&gt;='节点与说明'!O12,6&lt;='节点与说明'!P12),2,IF(AND(6&gt;='节点与说明'!O12-'节点与说明'!G12,6&lt;'节点与说明'!O12),1,"")))</x:f>
        <x:v>1</x:v>
      </x:c>
      <x:c r="N19" s="13" t="n">
        <x:f>IF(OR('节点与说明'!H12="不适用",7&gt;'时间线'!$C$9+1),"",IF(AND(7&gt;='节点与说明'!O12,7&lt;='节点与说明'!P12),2,IF(AND(7&gt;='节点与说明'!O12-'节点与说明'!G12,7&lt;'节点与说明'!O12),1,"")))</x:f>
        <x:v>1</x:v>
      </x:c>
      <x:c r="O19" s="13" t="n">
        <x:f>IF(OR('节点与说明'!H12="不适用",8&gt;'时间线'!$C$9+1),"",IF(AND(8&gt;='节点与说明'!O12,8&lt;='节点与说明'!P12),2,IF(AND(8&gt;='节点与说明'!O12-'节点与说明'!G12,8&lt;'节点与说明'!O12),1,"")))</x:f>
        <x:v>1</x:v>
      </x:c>
      <x:c r="P19" s="13" t="n">
        <x:f>IF(OR('节点与说明'!H12="不适用",9&gt;'时间线'!$C$9+1),"",IF(AND(9&gt;='节点与说明'!O12,9&lt;='节点与说明'!P12),2,IF(AND(9&gt;='节点与说明'!O12-'节点与说明'!G12,9&lt;'节点与说明'!O12),1,"")))</x:f>
        <x:v>2</x:v>
      </x:c>
      <x:c r="Q19" s="13" t="n">
        <x:f>IF(OR('节点与说明'!H12="不适用",10&gt;'时间线'!$C$9+1),"",IF(AND(10&gt;='节点与说明'!O12,10&lt;='节点与说明'!P12),2,IF(AND(10&gt;='节点与说明'!O12-'节点与说明'!G12,10&lt;'节点与说明'!O12),1,"")))</x:f>
        <x:v>2</x:v>
      </x:c>
      <x:c r="R19" s="13" t="n">
        <x:f>IF(OR('节点与说明'!H12="不适用",11&gt;'时间线'!$C$9+1),"",IF(AND(11&gt;='节点与说明'!O12,11&lt;='节点与说明'!P12),2,IF(AND(11&gt;='节点与说明'!O12-'节点与说明'!G12,11&lt;'节点与说明'!O12),1,"")))</x:f>
        <x:v>2</x:v>
      </x:c>
      <x:c r="S19" s="13" t="str">
        <x:f>IF(OR('节点与说明'!H12="不适用",12&gt;'时间线'!$C$9+1),"",IF(AND(12&gt;='节点与说明'!O12,12&lt;='节点与说明'!P12),2,IF(AND(12&gt;='节点与说明'!O12-'节点与说明'!G12,12&lt;'节点与说明'!O12),1,"")))</x:f>
      </x:c>
      <x:c r="T19" s="13" t="str">
        <x:f>IF(OR('节点与说明'!H12="不适用",13&gt;'时间线'!$C$9+1),"",IF(AND(13&gt;='节点与说明'!O12,13&lt;='节点与说明'!P12),2,IF(AND(13&gt;='节点与说明'!O12-'节点与说明'!G12,13&lt;'节点与说明'!O12),1,"")))</x:f>
      </x:c>
      <x:c r="U19" s="13" t="str">
        <x:f>IF(OR('节点与说明'!H12="不适用",14&gt;'时间线'!$C$9+1),"",IF(AND(14&gt;='节点与说明'!O12,14&lt;='节点与说明'!P12),2,IF(AND(14&gt;='节点与说明'!O12-'节点与说明'!G12,14&lt;'节点与说明'!O12),1,"")))</x:f>
      </x:c>
      <x:c r="V19" s="13" t="str">
        <x:f>IF(OR('节点与说明'!H12="不适用",15&gt;'时间线'!$C$9+1),"",IF(AND(15&gt;='节点与说明'!O12,15&lt;='节点与说明'!P12),2,IF(AND(15&gt;='节点与说明'!O12-'节点与说明'!G12,15&lt;'节点与说明'!O12),1,"")))</x:f>
      </x:c>
      <x:c r="W19" s="13" t="str">
        <x:f>IF(OR('节点与说明'!H12="不适用",16&gt;'时间线'!$C$9+1),"",IF(AND(16&gt;='节点与说明'!O12,16&lt;='节点与说明'!P12),2,IF(AND(16&gt;='节点与说明'!O12-'节点与说明'!G12,16&lt;'节点与说明'!O12),1,"")))</x:f>
      </x:c>
      <x:c r="X19" s="13" t="str">
        <x:f>IF(OR('节点与说明'!H12="不适用",17&gt;'时间线'!$C$9+1),"",IF(AND(17&gt;='节点与说明'!O12,17&lt;='节点与说明'!P12),2,IF(AND(17&gt;='节点与说明'!O12-'节点与说明'!G12,17&lt;'节点与说明'!O12),1,"")))</x:f>
      </x:c>
      <x:c r="Y19" s="13" t="str">
        <x:f>IF(OR('节点与说明'!H12="不适用",18&gt;'时间线'!$C$9+1),"",IF(AND(18&gt;='节点与说明'!O12,18&lt;='节点与说明'!P12),2,IF(AND(18&gt;='节点与说明'!O12-'节点与说明'!G12,18&lt;'节点与说明'!O12),1,"")))</x:f>
      </x:c>
      <x:c r="Z19" s="13" t="str">
        <x:f>IF(OR('节点与说明'!H12="不适用",19&gt;'时间线'!$C$9+1),"",IF(AND(19&gt;='节点与说明'!O12,19&lt;='节点与说明'!P12),2,IF(AND(19&gt;='节点与说明'!O12-'节点与说明'!G12,19&lt;'节点与说明'!O12),1,"")))</x:f>
      </x:c>
      <x:c r="AA19" s="13" t="str">
        <x:f>IF(OR('节点与说明'!H12="不适用",20&gt;'时间线'!$C$9+1),"",IF(AND(20&gt;='节点与说明'!O12,20&lt;='节点与说明'!P12),2,IF(AND(20&gt;='节点与说明'!O12-'节点与说明'!G12,20&lt;'节点与说明'!O12),1,"")))</x:f>
      </x:c>
      <x:c r="AB19" s="13" t="str">
        <x:f>IF(OR('节点与说明'!H12="不适用",21&gt;'时间线'!$C$9+1),"",IF(AND(21&gt;='节点与说明'!O12,21&lt;='节点与说明'!P12),2,IF(AND(21&gt;='节点与说明'!O12-'节点与说明'!G12,21&lt;'节点与说明'!O12),1,"")))</x:f>
      </x:c>
      <x:c r="AC19" s="13" t="str">
        <x:f>IF(OR('节点与说明'!H12="不适用",22&gt;'时间线'!$C$9+1),"",IF(AND(22&gt;='节点与说明'!O12,22&lt;='节点与说明'!P12),2,IF(AND(22&gt;='节点与说明'!O12-'节点与说明'!G12,22&lt;'节点与说明'!O12),1,"")))</x:f>
      </x:c>
      <x:c r="AD19" s="13" t="str">
        <x:f>IF(OR('节点与说明'!H12="不适用",23&gt;'时间线'!$C$9+1),"",IF(AND(23&gt;='节点与说明'!O12,23&lt;='节点与说明'!P12),2,IF(AND(23&gt;='节点与说明'!O12-'节点与说明'!G12,23&lt;'节点与说明'!O12),1,"")))</x:f>
      </x:c>
      <x:c r="AE19" s="13" t="str">
        <x:f>IF(OR('节点与说明'!H12="不适用",24&gt;'时间线'!$C$9+1),"",IF(AND(24&gt;='节点与说明'!O12,24&lt;='节点与说明'!P12),2,IF(AND(24&gt;='节点与说明'!O12-'节点与说明'!G12,24&lt;'节点与说明'!O12),1,"")))</x:f>
      </x:c>
      <x:c r="AF19" s="13" t="str">
        <x:f>IF(OR('节点与说明'!H12="不适用",25&gt;'时间线'!$C$9+1),"",IF(AND(25&gt;='节点与说明'!O12,25&lt;='节点与说明'!P12),2,IF(AND(25&gt;='节点与说明'!O12-'节点与说明'!G12,25&lt;'节点与说明'!O12),1,"")))</x:f>
      </x:c>
      <x:c r="AG19" s="13" t="str">
        <x:f>IF(OR('节点与说明'!H12="不适用",26&gt;'时间线'!$C$9+1),"",IF(AND(26&gt;='节点与说明'!O12,26&lt;='节点与说明'!P12),2,IF(AND(26&gt;='节点与说明'!O12-'节点与说明'!G12,26&lt;'节点与说明'!O12),1,"")))</x:f>
      </x:c>
      <x:c r="AH19" s="13" t="str">
        <x:f>IF(OR('节点与说明'!H12="不适用",27&gt;'时间线'!$C$9+1),"",IF(AND(27&gt;='节点与说明'!O12,27&lt;='节点与说明'!P12),2,IF(AND(27&gt;='节点与说明'!O12-'节点与说明'!G12,27&lt;'节点与说明'!O12),1,"")))</x:f>
      </x:c>
      <x:c r="AI19" s="13" t="str">
        <x:f>IF(OR('节点与说明'!H12="不适用",28&gt;'时间线'!$C$9+1),"",IF(AND(28&gt;='节点与说明'!O12,28&lt;='节点与说明'!P12),2,IF(AND(28&gt;='节点与说明'!O12-'节点与说明'!G12,28&lt;'节点与说明'!O12),1,"")))</x:f>
      </x:c>
      <x:c r="AJ19" s="13" t="str">
        <x:f>IF(OR('节点与说明'!H12="不适用",29&gt;'时间线'!$C$9+1),"",IF(AND(29&gt;='节点与说明'!O12,29&lt;='节点与说明'!P12),2,IF(AND(29&gt;='节点与说明'!O12-'节点与说明'!G12,29&lt;'节点与说明'!O12),1,"")))</x:f>
      </x:c>
      <x:c r="AK19" s="13" t="str">
        <x:f>IF(OR('节点与说明'!H12="不适用",30&gt;'时间线'!$C$9+1),"",IF(AND(30&gt;='节点与说明'!O12,30&lt;='节点与说明'!P12),2,IF(AND(30&gt;='节点与说明'!O12-'节点与说明'!G12,30&lt;'节点与说明'!O12),1,"")))</x:f>
      </x:c>
      <x:c r="AL19" s="13" t="str">
        <x:f>IF(OR('节点与说明'!H12="不适用",31&gt;'时间线'!$C$9+1),"",IF(AND(31&gt;='节点与说明'!O12,31&lt;='节点与说明'!P12),2,IF(AND(31&gt;='节点与说明'!O12-'节点与说明'!G12,31&lt;'节点与说明'!O12),1,"")))</x:f>
      </x:c>
      <x:c r="AM19" s="13" t="str">
        <x:f>IF(OR('节点与说明'!H12="不适用",32&gt;'时间线'!$C$9+1),"",IF(AND(32&gt;='节点与说明'!O12,32&lt;='节点与说明'!P12),2,IF(AND(32&gt;='节点与说明'!O12-'节点与说明'!G12,32&lt;'节点与说明'!O12),1,"")))</x:f>
      </x:c>
      <x:c r="AN19" s="13" t="str">
        <x:f>IF(OR('节点与说明'!H12="不适用",33&gt;'时间线'!$C$9+1),"",IF(AND(33&gt;='节点与说明'!O12,33&lt;='节点与说明'!P12),2,IF(AND(33&gt;='节点与说明'!O12-'节点与说明'!G12,33&lt;'节点与说明'!O12),1,"")))</x:f>
      </x:c>
      <x:c r="AO19" s="13" t="str">
        <x:f>IF(OR('节点与说明'!H12="不适用",34&gt;'时间线'!$C$9+1),"",IF(AND(34&gt;='节点与说明'!O12,34&lt;='节点与说明'!P12),2,IF(AND(34&gt;='节点与说明'!O12-'节点与说明'!G12,34&lt;'节点与说明'!O12),1,"")))</x:f>
      </x:c>
      <x:c r="AP19" s="13" t="str">
        <x:f>IF(OR('节点与说明'!H12="不适用",35&gt;'时间线'!$C$9+1),"",IF(AND(35&gt;='节点与说明'!O12,35&lt;='节点与说明'!P12),2,IF(AND(35&gt;='节点与说明'!O12-'节点与说明'!G12,35&lt;'节点与说明'!O12),1,"")))</x:f>
      </x:c>
      <x:c r="AQ19" s="2"/>
      <x:c r="AR19" s="11" t="str">
        <x:f>'节点与说明'!N12</x:f>
        <x:v>提前3个月完成核心文献与可行性证据，提前1个月做模拟汇报。</x:v>
      </x:c>
    </x:row>
    <x:row r="20" ht="38" customHeight="1">
      <x:c r="A20" s="2" t="str">
        <x:f>'节点与说明'!A13</x:f>
        <x:v>A20</x:v>
      </x:c>
      <x:c r="B20" s="15" t="str">
        <x:f>'节点与说明'!B13</x:f>
        <x:v>培养</x:v>
      </x:c>
      <x:c r="C20" s="11" t="str">
        <x:f>'节点与说明'!C13</x:f>
        <x:v>学硕社会实践及认定</x:v>
      </x:c>
      <x:c r="D20" s="2" t="str">
        <x:f>'节点与说明'!H13</x:f>
        <x:v>待确认</x:v>
      </x:c>
      <x:c r="E20" s="2" t="n">
        <x:f>'节点与说明'!G13</x:f>
        <x:v>1</x:v>
      </x:c>
      <x:c r="F20" s="2" t="str">
        <x:f>'节点与说明'!S13</x:f>
        <x:v>研1·12月</x:v>
      </x:c>
      <x:c r="G20" s="13" t="str">
        <x:f>IF(OR('节点与说明'!H13="不适用",0&gt;'时间线'!$C$9+1),"",IF(AND(0&gt;='节点与说明'!O13,0&lt;='节点与说明'!P13),2,IF(AND(0&gt;='节点与说明'!O13-'节点与说明'!G13,0&lt;'节点与说明'!O13),1,"")))</x:f>
      </x:c>
      <x:c r="H20" s="13" t="str">
        <x:f>IF(OR('节点与说明'!H13="不适用",1&gt;'时间线'!$C$9+1),"",IF(AND(1&gt;='节点与说明'!O13,1&lt;='节点与说明'!P13),2,IF(AND(1&gt;='节点与说明'!O13-'节点与说明'!G13,1&lt;'节点与说明'!O13),1,"")))</x:f>
      </x:c>
      <x:c r="I20" s="13" t="str">
        <x:f>IF(OR('节点与说明'!H13="不适用",2&gt;'时间线'!$C$9+1),"",IF(AND(2&gt;='节点与说明'!O13,2&lt;='节点与说明'!P13),2,IF(AND(2&gt;='节点与说明'!O13-'节点与说明'!G13,2&lt;'节点与说明'!O13),1,"")))</x:f>
      </x:c>
      <x:c r="J20" s="13" t="n">
        <x:f>IF(OR('节点与说明'!H13="不适用",3&gt;'时间线'!$C$9+1),"",IF(AND(3&gt;='节点与说明'!O13,3&lt;='节点与说明'!P13),2,IF(AND(3&gt;='节点与说明'!O13-'节点与说明'!G13,3&lt;'节点与说明'!O13),1,"")))</x:f>
        <x:v>1</x:v>
      </x:c>
      <x:c r="K20" s="13" t="n">
        <x:f>IF(OR('节点与说明'!H13="不适用",4&gt;'时间线'!$C$9+1),"",IF(AND(4&gt;='节点与说明'!O13,4&lt;='节点与说明'!P13),2,IF(AND(4&gt;='节点与说明'!O13-'节点与说明'!G13,4&lt;'节点与说明'!O13),1,"")))</x:f>
        <x:v>2</x:v>
      </x:c>
      <x:c r="L20" s="13" t="n">
        <x:f>IF(OR('节点与说明'!H13="不适用",5&gt;'时间线'!$C$9+1),"",IF(AND(5&gt;='节点与说明'!O13,5&lt;='节点与说明'!P13),2,IF(AND(5&gt;='节点与说明'!O13-'节点与说明'!G13,5&lt;'节点与说明'!O13),1,"")))</x:f>
        <x:v>2</x:v>
      </x:c>
      <x:c r="M20" s="13" t="n">
        <x:f>IF(OR('节点与说明'!H13="不适用",6&gt;'时间线'!$C$9+1),"",IF(AND(6&gt;='节点与说明'!O13,6&lt;='节点与说明'!P13),2,IF(AND(6&gt;='节点与说明'!O13-'节点与说明'!G13,6&lt;'节点与说明'!O13),1,"")))</x:f>
        <x:v>2</x:v>
      </x:c>
      <x:c r="N20" s="13" t="n">
        <x:f>IF(OR('节点与说明'!H13="不适用",7&gt;'时间线'!$C$9+1),"",IF(AND(7&gt;='节点与说明'!O13,7&lt;='节点与说明'!P13),2,IF(AND(7&gt;='节点与说明'!O13-'节点与说明'!G13,7&lt;'节点与说明'!O13),1,"")))</x:f>
        <x:v>2</x:v>
      </x:c>
      <x:c r="O20" s="13" t="n">
        <x:f>IF(OR('节点与说明'!H13="不适用",8&gt;'时间线'!$C$9+1),"",IF(AND(8&gt;='节点与说明'!O13,8&lt;='节点与说明'!P13),2,IF(AND(8&gt;='节点与说明'!O13-'节点与说明'!G13,8&lt;'节点与说明'!O13),1,"")))</x:f>
        <x:v>2</x:v>
      </x:c>
      <x:c r="P20" s="13" t="n">
        <x:f>IF(OR('节点与说明'!H13="不适用",9&gt;'时间线'!$C$9+1),"",IF(AND(9&gt;='节点与说明'!O13,9&lt;='节点与说明'!P13),2,IF(AND(9&gt;='节点与说明'!O13-'节点与说明'!G13,9&lt;'节点与说明'!O13),1,"")))</x:f>
        <x:v>2</x:v>
      </x:c>
      <x:c r="Q20" s="13" t="n">
        <x:f>IF(OR('节点与说明'!H13="不适用",10&gt;'时间线'!$C$9+1),"",IF(AND(10&gt;='节点与说明'!O13,10&lt;='节点与说明'!P13),2,IF(AND(10&gt;='节点与说明'!O13-'节点与说明'!G13,10&lt;'节点与说明'!O13),1,"")))</x:f>
        <x:v>2</x:v>
      </x:c>
      <x:c r="R20" s="13" t="n">
        <x:f>IF(OR('节点与说明'!H13="不适用",11&gt;'时间线'!$C$9+1),"",IF(AND(11&gt;='节点与说明'!O13,11&lt;='节点与说明'!P13),2,IF(AND(11&gt;='节点与说明'!O13-'节点与说明'!G13,11&lt;'节点与说明'!O13),1,"")))</x:f>
        <x:v>2</x:v>
      </x:c>
      <x:c r="S20" s="13" t="n">
        <x:f>IF(OR('节点与说明'!H13="不适用",12&gt;'时间线'!$C$9+1),"",IF(AND(12&gt;='节点与说明'!O13,12&lt;='节点与说明'!P13),2,IF(AND(12&gt;='节点与说明'!O13-'节点与说明'!G13,12&lt;'节点与说明'!O13),1,"")))</x:f>
        <x:v>2</x:v>
      </x:c>
      <x:c r="T20" s="13" t="n">
        <x:f>IF(OR('节点与说明'!H13="不适用",13&gt;'时间线'!$C$9+1),"",IF(AND(13&gt;='节点与说明'!O13,13&lt;='节点与说明'!P13),2,IF(AND(13&gt;='节点与说明'!O13-'节点与说明'!G13,13&lt;'节点与说明'!O13),1,"")))</x:f>
        <x:v>2</x:v>
      </x:c>
      <x:c r="U20" s="13" t="n">
        <x:f>IF(OR('节点与说明'!H13="不适用",14&gt;'时间线'!$C$9+1),"",IF(AND(14&gt;='节点与说明'!O13,14&lt;='节点与说明'!P13),2,IF(AND(14&gt;='节点与说明'!O13-'节点与说明'!G13,14&lt;'节点与说明'!O13),1,"")))</x:f>
        <x:v>2</x:v>
      </x:c>
      <x:c r="V20" s="13" t="n">
        <x:f>IF(OR('节点与说明'!H13="不适用",15&gt;'时间线'!$C$9+1),"",IF(AND(15&gt;='节点与说明'!O13,15&lt;='节点与说明'!P13),2,IF(AND(15&gt;='节点与说明'!O13-'节点与说明'!G13,15&lt;'节点与说明'!O13),1,"")))</x:f>
        <x:v>2</x:v>
      </x:c>
      <x:c r="W20" s="13" t="n">
        <x:f>IF(OR('节点与说明'!H13="不适用",16&gt;'时间线'!$C$9+1),"",IF(AND(16&gt;='节点与说明'!O13,16&lt;='节点与说明'!P13),2,IF(AND(16&gt;='节点与说明'!O13-'节点与说明'!G13,16&lt;'节点与说明'!O13),1,"")))</x:f>
        <x:v>2</x:v>
      </x:c>
      <x:c r="X20" s="13" t="n">
        <x:f>IF(OR('节点与说明'!H13="不适用",17&gt;'时间线'!$C$9+1),"",IF(AND(17&gt;='节点与说明'!O13,17&lt;='节点与说明'!P13),2,IF(AND(17&gt;='节点与说明'!O13-'节点与说明'!G13,17&lt;'节点与说明'!O13),1,"")))</x:f>
        <x:v>2</x:v>
      </x:c>
      <x:c r="Y20" s="13" t="str">
        <x:f>IF(OR('节点与说明'!H13="不适用",18&gt;'时间线'!$C$9+1),"",IF(AND(18&gt;='节点与说明'!O13,18&lt;='节点与说明'!P13),2,IF(AND(18&gt;='节点与说明'!O13-'节点与说明'!G13,18&lt;'节点与说明'!O13),1,"")))</x:f>
      </x:c>
      <x:c r="Z20" s="13" t="str">
        <x:f>IF(OR('节点与说明'!H13="不适用",19&gt;'时间线'!$C$9+1),"",IF(AND(19&gt;='节点与说明'!O13,19&lt;='节点与说明'!P13),2,IF(AND(19&gt;='节点与说明'!O13-'节点与说明'!G13,19&lt;'节点与说明'!O13),1,"")))</x:f>
      </x:c>
      <x:c r="AA20" s="13" t="str">
        <x:f>IF(OR('节点与说明'!H13="不适用",20&gt;'时间线'!$C$9+1),"",IF(AND(20&gt;='节点与说明'!O13,20&lt;='节点与说明'!P13),2,IF(AND(20&gt;='节点与说明'!O13-'节点与说明'!G13,20&lt;'节点与说明'!O13),1,"")))</x:f>
      </x:c>
      <x:c r="AB20" s="13" t="str">
        <x:f>IF(OR('节点与说明'!H13="不适用",21&gt;'时间线'!$C$9+1),"",IF(AND(21&gt;='节点与说明'!O13,21&lt;='节点与说明'!P13),2,IF(AND(21&gt;='节点与说明'!O13-'节点与说明'!G13,21&lt;'节点与说明'!O13),1,"")))</x:f>
      </x:c>
      <x:c r="AC20" s="13" t="str">
        <x:f>IF(OR('节点与说明'!H13="不适用",22&gt;'时间线'!$C$9+1),"",IF(AND(22&gt;='节点与说明'!O13,22&lt;='节点与说明'!P13),2,IF(AND(22&gt;='节点与说明'!O13-'节点与说明'!G13,22&lt;'节点与说明'!O13),1,"")))</x:f>
      </x:c>
      <x:c r="AD20" s="13" t="str">
        <x:f>IF(OR('节点与说明'!H13="不适用",23&gt;'时间线'!$C$9+1),"",IF(AND(23&gt;='节点与说明'!O13,23&lt;='节点与说明'!P13),2,IF(AND(23&gt;='节点与说明'!O13-'节点与说明'!G13,23&lt;'节点与说明'!O13),1,"")))</x:f>
      </x:c>
      <x:c r="AE20" s="13" t="str">
        <x:f>IF(OR('节点与说明'!H13="不适用",24&gt;'时间线'!$C$9+1),"",IF(AND(24&gt;='节点与说明'!O13,24&lt;='节点与说明'!P13),2,IF(AND(24&gt;='节点与说明'!O13-'节点与说明'!G13,24&lt;'节点与说明'!O13),1,"")))</x:f>
      </x:c>
      <x:c r="AF20" s="13" t="str">
        <x:f>IF(OR('节点与说明'!H13="不适用",25&gt;'时间线'!$C$9+1),"",IF(AND(25&gt;='节点与说明'!O13,25&lt;='节点与说明'!P13),2,IF(AND(25&gt;='节点与说明'!O13-'节点与说明'!G13,25&lt;'节点与说明'!O13),1,"")))</x:f>
      </x:c>
      <x:c r="AG20" s="13" t="str">
        <x:f>IF(OR('节点与说明'!H13="不适用",26&gt;'时间线'!$C$9+1),"",IF(AND(26&gt;='节点与说明'!O13,26&lt;='节点与说明'!P13),2,IF(AND(26&gt;='节点与说明'!O13-'节点与说明'!G13,26&lt;'节点与说明'!O13),1,"")))</x:f>
      </x:c>
      <x:c r="AH20" s="13" t="str">
        <x:f>IF(OR('节点与说明'!H13="不适用",27&gt;'时间线'!$C$9+1),"",IF(AND(27&gt;='节点与说明'!O13,27&lt;='节点与说明'!P13),2,IF(AND(27&gt;='节点与说明'!O13-'节点与说明'!G13,27&lt;'节点与说明'!O13),1,"")))</x:f>
      </x:c>
      <x:c r="AI20" s="13" t="str">
        <x:f>IF(OR('节点与说明'!H13="不适用",28&gt;'时间线'!$C$9+1),"",IF(AND(28&gt;='节点与说明'!O13,28&lt;='节点与说明'!P13),2,IF(AND(28&gt;='节点与说明'!O13-'节点与说明'!G13,28&lt;'节点与说明'!O13),1,"")))</x:f>
      </x:c>
      <x:c r="AJ20" s="13" t="str">
        <x:f>IF(OR('节点与说明'!H13="不适用",29&gt;'时间线'!$C$9+1),"",IF(AND(29&gt;='节点与说明'!O13,29&lt;='节点与说明'!P13),2,IF(AND(29&gt;='节点与说明'!O13-'节点与说明'!G13,29&lt;'节点与说明'!O13),1,"")))</x:f>
      </x:c>
      <x:c r="AK20" s="13" t="str">
        <x:f>IF(OR('节点与说明'!H13="不适用",30&gt;'时间线'!$C$9+1),"",IF(AND(30&gt;='节点与说明'!O13,30&lt;='节点与说明'!P13),2,IF(AND(30&gt;='节点与说明'!O13-'节点与说明'!G13,30&lt;'节点与说明'!O13),1,"")))</x:f>
      </x:c>
      <x:c r="AL20" s="13" t="str">
        <x:f>IF(OR('节点与说明'!H13="不适用",31&gt;'时间线'!$C$9+1),"",IF(AND(31&gt;='节点与说明'!O13,31&lt;='节点与说明'!P13),2,IF(AND(31&gt;='节点与说明'!O13-'节点与说明'!G13,31&lt;'节点与说明'!O13),1,"")))</x:f>
      </x:c>
      <x:c r="AM20" s="13" t="str">
        <x:f>IF(OR('节点与说明'!H13="不适用",32&gt;'时间线'!$C$9+1),"",IF(AND(32&gt;='节点与说明'!O13,32&lt;='节点与说明'!P13),2,IF(AND(32&gt;='节点与说明'!O13-'节点与说明'!G13,32&lt;'节点与说明'!O13),1,"")))</x:f>
      </x:c>
      <x:c r="AN20" s="13" t="str">
        <x:f>IF(OR('节点与说明'!H13="不适用",33&gt;'时间线'!$C$9+1),"",IF(AND(33&gt;='节点与说明'!O13,33&lt;='节点与说明'!P13),2,IF(AND(33&gt;='节点与说明'!O13-'节点与说明'!G13,33&lt;'节点与说明'!O13),1,"")))</x:f>
      </x:c>
      <x:c r="AO20" s="13" t="str">
        <x:f>IF(OR('节点与说明'!H13="不适用",34&gt;'时间线'!$C$9+1),"",IF(AND(34&gt;='节点与说明'!O13,34&lt;='节点与说明'!P13),2,IF(AND(34&gt;='节点与说明'!O13-'节点与说明'!G13,34&lt;'节点与说明'!O13),1,"")))</x:f>
      </x:c>
      <x:c r="AP20" s="13" t="str">
        <x:f>IF(OR('节点与说明'!H13="不适用",35&gt;'时间线'!$C$9+1),"",IF(AND(35&gt;='节点与说明'!O13,35&lt;='节点与说明'!P13),2,IF(AND(35&gt;='节点与说明'!O13-'节点与说明'!G13,35&lt;'节点与说明'!O13),1,"")))</x:f>
      </x:c>
      <x:c r="AQ20" s="2"/>
      <x:c r="AR20" s="11" t="str">
        <x:f>'节点与说明'!N13</x:f>
        <x:v>先选认可路径再参加，如合规志愿服务、助教助管、校/院实践项目。</x:v>
      </x:c>
    </x:row>
    <x:row r="21" ht="38" customHeight="1">
      <x:c r="A21" s="2" t="str">
        <x:f>'节点与说明'!A14</x:f>
        <x:v>A05</x:v>
      </x:c>
      <x:c r="B21" s="15" t="str">
        <x:f>'节点与说明'!B14</x:f>
        <x:v>培养</x:v>
      </x:c>
      <x:c r="C21" s="11" t="str">
        <x:f>'节点与说明'!C14</x:f>
        <x:v>专业实践与校外实践安排</x:v>
      </x:c>
      <x:c r="D21" s="2" t="str">
        <x:f>'节点与说明'!H14</x:f>
        <x:v>待确认</x:v>
      </x:c>
      <x:c r="E21" s="2" t="n">
        <x:f>'节点与说明'!G14</x:f>
        <x:v>2</x:v>
      </x:c>
      <x:c r="F21" s="2" t="str">
        <x:f>'节点与说明'!S14</x:f>
        <x:v>研1·5月</x:v>
      </x:c>
      <x:c r="G21" s="13" t="str">
        <x:f>IF(OR('节点与说明'!H14="不适用",0&gt;'时间线'!$C$9+1),"",IF(AND(0&gt;='节点与说明'!O14,0&lt;='节点与说明'!P14),2,IF(AND(0&gt;='节点与说明'!O14-'节点与说明'!G14,0&lt;'节点与说明'!O14),1,"")))</x:f>
      </x:c>
      <x:c r="H21" s="13" t="str">
        <x:f>IF(OR('节点与说明'!H14="不适用",1&gt;'时间线'!$C$9+1),"",IF(AND(1&gt;='节点与说明'!O14,1&lt;='节点与说明'!P14),2,IF(AND(1&gt;='节点与说明'!O14-'节点与说明'!G14,1&lt;'节点与说明'!O14),1,"")))</x:f>
      </x:c>
      <x:c r="I21" s="13" t="str">
        <x:f>IF(OR('节点与说明'!H14="不适用",2&gt;'时间线'!$C$9+1),"",IF(AND(2&gt;='节点与说明'!O14,2&lt;='节点与说明'!P14),2,IF(AND(2&gt;='节点与说明'!O14-'节点与说明'!G14,2&lt;'节点与说明'!O14),1,"")))</x:f>
      </x:c>
      <x:c r="J21" s="13" t="str">
        <x:f>IF(OR('节点与说明'!H14="不适用",3&gt;'时间线'!$C$9+1),"",IF(AND(3&gt;='节点与说明'!O14,3&lt;='节点与说明'!P14),2,IF(AND(3&gt;='节点与说明'!O14-'节点与说明'!G14,3&lt;'节点与说明'!O14),1,"")))</x:f>
      </x:c>
      <x:c r="K21" s="13" t="str">
        <x:f>IF(OR('节点与说明'!H14="不适用",4&gt;'时间线'!$C$9+1),"",IF(AND(4&gt;='节点与说明'!O14,4&lt;='节点与说明'!P14),2,IF(AND(4&gt;='节点与说明'!O14-'节点与说明'!G14,4&lt;'节点与说明'!O14),1,"")))</x:f>
      </x:c>
      <x:c r="L21" s="13" t="str">
        <x:f>IF(OR('节点与说明'!H14="不适用",5&gt;'时间线'!$C$9+1),"",IF(AND(5&gt;='节点与说明'!O14,5&lt;='节点与说明'!P14),2,IF(AND(5&gt;='节点与说明'!O14-'节点与说明'!G14,5&lt;'节点与说明'!O14),1,"")))</x:f>
      </x:c>
      <x:c r="M21" s="13" t="str">
        <x:f>IF(OR('节点与说明'!H14="不适用",6&gt;'时间线'!$C$9+1),"",IF(AND(6&gt;='节点与说明'!O14,6&lt;='节点与说明'!P14),2,IF(AND(6&gt;='节点与说明'!O14-'节点与说明'!G14,6&lt;'节点与说明'!O14),1,"")))</x:f>
      </x:c>
      <x:c r="N21" s="13" t="str">
        <x:f>IF(OR('节点与说明'!H14="不适用",7&gt;'时间线'!$C$9+1),"",IF(AND(7&gt;='节点与说明'!O14,7&lt;='节点与说明'!P14),2,IF(AND(7&gt;='节点与说明'!O14-'节点与说明'!G14,7&lt;'节点与说明'!O14),1,"")))</x:f>
      </x:c>
      <x:c r="O21" s="13" t="n">
        <x:f>IF(OR('节点与说明'!H14="不适用",8&gt;'时间线'!$C$9+1),"",IF(AND(8&gt;='节点与说明'!O14,8&lt;='节点与说明'!P14),2,IF(AND(8&gt;='节点与说明'!O14-'节点与说明'!G14,8&lt;'节点与说明'!O14),1,"")))</x:f>
        <x:v>1</x:v>
      </x:c>
      <x:c r="P21" s="13" t="n">
        <x:f>IF(OR('节点与说明'!H14="不适用",9&gt;'时间线'!$C$9+1),"",IF(AND(9&gt;='节点与说明'!O14,9&lt;='节点与说明'!P14),2,IF(AND(9&gt;='节点与说明'!O14-'节点与说明'!G14,9&lt;'节点与说明'!O14),1,"")))</x:f>
        <x:v>1</x:v>
      </x:c>
      <x:c r="Q21" s="13" t="n">
        <x:f>IF(OR('节点与说明'!H14="不适用",10&gt;'时间线'!$C$9+1),"",IF(AND(10&gt;='节点与说明'!O14,10&lt;='节点与说明'!P14),2,IF(AND(10&gt;='节点与说明'!O14-'节点与说明'!G14,10&lt;'节点与说明'!O14),1,"")))</x:f>
        <x:v>2</x:v>
      </x:c>
      <x:c r="R21" s="13" t="n">
        <x:f>IF(OR('节点与说明'!H14="不适用",11&gt;'时间线'!$C$9+1),"",IF(AND(11&gt;='节点与说明'!O14,11&lt;='节点与说明'!P14),2,IF(AND(11&gt;='节点与说明'!O14-'节点与说明'!G14,11&lt;'节点与说明'!O14),1,"")))</x:f>
        <x:v>2</x:v>
      </x:c>
      <x:c r="S21" s="13" t="n">
        <x:f>IF(OR('节点与说明'!H14="不适用",12&gt;'时间线'!$C$9+1),"",IF(AND(12&gt;='节点与说明'!O14,12&lt;='节点与说明'!P14),2,IF(AND(12&gt;='节点与说明'!O14-'节点与说明'!G14,12&lt;'节点与说明'!O14),1,"")))</x:f>
        <x:v>2</x:v>
      </x:c>
      <x:c r="T21" s="13" t="n">
        <x:f>IF(OR('节点与说明'!H14="不适用",13&gt;'时间线'!$C$9+1),"",IF(AND(13&gt;='节点与说明'!O14,13&lt;='节点与说明'!P14),2,IF(AND(13&gt;='节点与说明'!O14-'节点与说明'!G14,13&lt;'节点与说明'!O14),1,"")))</x:f>
        <x:v>2</x:v>
      </x:c>
      <x:c r="U21" s="13" t="n">
        <x:f>IF(OR('节点与说明'!H14="不适用",14&gt;'时间线'!$C$9+1),"",IF(AND(14&gt;='节点与说明'!O14,14&lt;='节点与说明'!P14),2,IF(AND(14&gt;='节点与说明'!O14-'节点与说明'!G14,14&lt;'节点与说明'!O14),1,"")))</x:f>
        <x:v>2</x:v>
      </x:c>
      <x:c r="V21" s="13" t="n">
        <x:f>IF(OR('节点与说明'!H14="不适用",15&gt;'时间线'!$C$9+1),"",IF(AND(15&gt;='节点与说明'!O14,15&lt;='节点与说明'!P14),2,IF(AND(15&gt;='节点与说明'!O14-'节点与说明'!G14,15&lt;'节点与说明'!O14),1,"")))</x:f>
        <x:v>2</x:v>
      </x:c>
      <x:c r="W21" s="13" t="n">
        <x:f>IF(OR('节点与说明'!H14="不适用",16&gt;'时间线'!$C$9+1),"",IF(AND(16&gt;='节点与说明'!O14,16&lt;='节点与说明'!P14),2,IF(AND(16&gt;='节点与说明'!O14-'节点与说明'!G14,16&lt;'节点与说明'!O14),1,"")))</x:f>
        <x:v>2</x:v>
      </x:c>
      <x:c r="X21" s="13" t="n">
        <x:f>IF(OR('节点与说明'!H14="不适用",17&gt;'时间线'!$C$9+1),"",IF(AND(17&gt;='节点与说明'!O14,17&lt;='节点与说明'!P14),2,IF(AND(17&gt;='节点与说明'!O14-'节点与说明'!G14,17&lt;'节点与说明'!O14),1,"")))</x:f>
        <x:v>2</x:v>
      </x:c>
      <x:c r="Y21" s="13" t="n">
        <x:f>IF(OR('节点与说明'!H14="不适用",18&gt;'时间线'!$C$9+1),"",IF(AND(18&gt;='节点与说明'!O14,18&lt;='节点与说明'!P14),2,IF(AND(18&gt;='节点与说明'!O14-'节点与说明'!G14,18&lt;'节点与说明'!O14),1,"")))</x:f>
        <x:v>2</x:v>
      </x:c>
      <x:c r="Z21" s="13" t="n">
        <x:f>IF(OR('节点与说明'!H14="不适用",19&gt;'时间线'!$C$9+1),"",IF(AND(19&gt;='节点与说明'!O14,19&lt;='节点与说明'!P14),2,IF(AND(19&gt;='节点与说明'!O14-'节点与说明'!G14,19&lt;'节点与说明'!O14),1,"")))</x:f>
        <x:v>2</x:v>
      </x:c>
      <x:c r="AA21" s="13" t="n">
        <x:f>IF(OR('节点与说明'!H14="不适用",20&gt;'时间线'!$C$9+1),"",IF(AND(20&gt;='节点与说明'!O14,20&lt;='节点与说明'!P14),2,IF(AND(20&gt;='节点与说明'!O14-'节点与说明'!G14,20&lt;'节点与说明'!O14),1,"")))</x:f>
        <x:v>2</x:v>
      </x:c>
      <x:c r="AB21" s="13" t="n">
        <x:f>IF(OR('节点与说明'!H14="不适用",21&gt;'时间线'!$C$9+1),"",IF(AND(21&gt;='节点与说明'!O14,21&lt;='节点与说明'!P14),2,IF(AND(21&gt;='节点与说明'!O14-'节点与说明'!G14,21&lt;'节点与说明'!O14),1,"")))</x:f>
        <x:v>2</x:v>
      </x:c>
      <x:c r="AC21" s="13" t="str">
        <x:f>IF(OR('节点与说明'!H14="不适用",22&gt;'时间线'!$C$9+1),"",IF(AND(22&gt;='节点与说明'!O14,22&lt;='节点与说明'!P14),2,IF(AND(22&gt;='节点与说明'!O14-'节点与说明'!G14,22&lt;'节点与说明'!O14),1,"")))</x:f>
      </x:c>
      <x:c r="AD21" s="13" t="str">
        <x:f>IF(OR('节点与说明'!H14="不适用",23&gt;'时间线'!$C$9+1),"",IF(AND(23&gt;='节点与说明'!O14,23&lt;='节点与说明'!P14),2,IF(AND(23&gt;='节点与说明'!O14-'节点与说明'!G14,23&lt;'节点与说明'!O14),1,"")))</x:f>
      </x:c>
      <x:c r="AE21" s="13" t="str">
        <x:f>IF(OR('节点与说明'!H14="不适用",24&gt;'时间线'!$C$9+1),"",IF(AND(24&gt;='节点与说明'!O14,24&lt;='节点与说明'!P14),2,IF(AND(24&gt;='节点与说明'!O14-'节点与说明'!G14,24&lt;'节点与说明'!O14),1,"")))</x:f>
      </x:c>
      <x:c r="AF21" s="13" t="str">
        <x:f>IF(OR('节点与说明'!H14="不适用",25&gt;'时间线'!$C$9+1),"",IF(AND(25&gt;='节点与说明'!O14,25&lt;='节点与说明'!P14),2,IF(AND(25&gt;='节点与说明'!O14-'节点与说明'!G14,25&lt;'节点与说明'!O14),1,"")))</x:f>
      </x:c>
      <x:c r="AG21" s="13" t="str">
        <x:f>IF(OR('节点与说明'!H14="不适用",26&gt;'时间线'!$C$9+1),"",IF(AND(26&gt;='节点与说明'!O14,26&lt;='节点与说明'!P14),2,IF(AND(26&gt;='节点与说明'!O14-'节点与说明'!G14,26&lt;'节点与说明'!O14),1,"")))</x:f>
      </x:c>
      <x:c r="AH21" s="13" t="str">
        <x:f>IF(OR('节点与说明'!H14="不适用",27&gt;'时间线'!$C$9+1),"",IF(AND(27&gt;='节点与说明'!O14,27&lt;='节点与说明'!P14),2,IF(AND(27&gt;='节点与说明'!O14-'节点与说明'!G14,27&lt;'节点与说明'!O14),1,"")))</x:f>
      </x:c>
      <x:c r="AI21" s="13" t="str">
        <x:f>IF(OR('节点与说明'!H14="不适用",28&gt;'时间线'!$C$9+1),"",IF(AND(28&gt;='节点与说明'!O14,28&lt;='节点与说明'!P14),2,IF(AND(28&gt;='节点与说明'!O14-'节点与说明'!G14,28&lt;'节点与说明'!O14),1,"")))</x:f>
      </x:c>
      <x:c r="AJ21" s="13" t="str">
        <x:f>IF(OR('节点与说明'!H14="不适用",29&gt;'时间线'!$C$9+1),"",IF(AND(29&gt;='节点与说明'!O14,29&lt;='节点与说明'!P14),2,IF(AND(29&gt;='节点与说明'!O14-'节点与说明'!G14,29&lt;'节点与说明'!O14),1,"")))</x:f>
      </x:c>
      <x:c r="AK21" s="13" t="str">
        <x:f>IF(OR('节点与说明'!H14="不适用",30&gt;'时间线'!$C$9+1),"",IF(AND(30&gt;='节点与说明'!O14,30&lt;='节点与说明'!P14),2,IF(AND(30&gt;='节点与说明'!O14-'节点与说明'!G14,30&lt;'节点与说明'!O14),1,"")))</x:f>
      </x:c>
      <x:c r="AL21" s="13" t="str">
        <x:f>IF(OR('节点与说明'!H14="不适用",31&gt;'时间线'!$C$9+1),"",IF(AND(31&gt;='节点与说明'!O14,31&lt;='节点与说明'!P14),2,IF(AND(31&gt;='节点与说明'!O14-'节点与说明'!G14,31&lt;'节点与说明'!O14),1,"")))</x:f>
      </x:c>
      <x:c r="AM21" s="13" t="str">
        <x:f>IF(OR('节点与说明'!H14="不适用",32&gt;'时间线'!$C$9+1),"",IF(AND(32&gt;='节点与说明'!O14,32&lt;='节点与说明'!P14),2,IF(AND(32&gt;='节点与说明'!O14-'节点与说明'!G14,32&lt;'节点与说明'!O14),1,"")))</x:f>
      </x:c>
      <x:c r="AN21" s="13" t="str">
        <x:f>IF(OR('节点与说明'!H14="不适用",33&gt;'时间线'!$C$9+1),"",IF(AND(33&gt;='节点与说明'!O14,33&lt;='节点与说明'!P14),2,IF(AND(33&gt;='节点与说明'!O14-'节点与说明'!G14,33&lt;'节点与说明'!O14),1,"")))</x:f>
      </x:c>
      <x:c r="AO21" s="13" t="str">
        <x:f>IF(OR('节点与说明'!H14="不适用",34&gt;'时间线'!$C$9+1),"",IF(AND(34&gt;='节点与说明'!O14,34&lt;='节点与说明'!P14),2,IF(AND(34&gt;='节点与说明'!O14-'节点与说明'!G14,34&lt;'节点与说明'!O14),1,"")))</x:f>
      </x:c>
      <x:c r="AP21" s="13" t="str">
        <x:f>IF(OR('节点与说明'!H14="不适用",35&gt;'时间线'!$C$9+1),"",IF(AND(35&gt;='节点与说明'!O14,35&lt;='节点与说明'!P14),2,IF(AND(35&gt;='节点与说明'!O14-'节点与说明'!G14,35&lt;'节点与说明'!O14),1,"")))</x:f>
      </x:c>
      <x:c r="AQ21" s="2"/>
      <x:c r="AR21" s="11" t="str">
        <x:f>'节点与说明'!N14</x:f>
        <x:v>先核工作经历和专业要求，倒推完整实践时长；不能把短期求职实习自动折算。</x:v>
      </x:c>
    </x:row>
    <x:row r="22" ht="38" customHeight="1">
      <x:c r="A22" s="2" t="str">
        <x:f>'节点与说明'!A15</x:f>
        <x:v>A07</x:v>
      </x:c>
      <x:c r="B22" s="15" t="str">
        <x:f>'节点与说明'!B15</x:f>
        <x:v>培养</x:v>
      </x:c>
      <x:c r="C22" s="11" t="str">
        <x:f>'节点与说明'!C15</x:f>
        <x:v>专业实践中期检查</x:v>
      </x:c>
      <x:c r="D22" s="2" t="str">
        <x:f>'节点与说明'!H15</x:f>
        <x:v>待确认</x:v>
      </x:c>
      <x:c r="E22" s="2" t="n">
        <x:f>'节点与说明'!G15</x:f>
        <x:v>1</x:v>
      </x:c>
      <x:c r="F22" s="2" t="str">
        <x:f>'节点与说明'!S15</x:f>
        <x:v>研2·9月</x:v>
      </x:c>
      <x:c r="G22" s="13" t="str">
        <x:f>IF(OR('节点与说明'!H15="不适用",0&gt;'时间线'!$C$9+1),"",IF(AND(0&gt;='节点与说明'!O15,0&lt;='节点与说明'!P15),2,IF(AND(0&gt;='节点与说明'!O15-'节点与说明'!G15,0&lt;'节点与说明'!O15),1,"")))</x:f>
      </x:c>
      <x:c r="H22" s="13" t="str">
        <x:f>IF(OR('节点与说明'!H15="不适用",1&gt;'时间线'!$C$9+1),"",IF(AND(1&gt;='节点与说明'!O15,1&lt;='节点与说明'!P15),2,IF(AND(1&gt;='节点与说明'!O15-'节点与说明'!G15,1&lt;'节点与说明'!O15),1,"")))</x:f>
      </x:c>
      <x:c r="I22" s="13" t="str">
        <x:f>IF(OR('节点与说明'!H15="不适用",2&gt;'时间线'!$C$9+1),"",IF(AND(2&gt;='节点与说明'!O15,2&lt;='节点与说明'!P15),2,IF(AND(2&gt;='节点与说明'!O15-'节点与说明'!G15,2&lt;'节点与说明'!O15),1,"")))</x:f>
      </x:c>
      <x:c r="J22" s="13" t="str">
        <x:f>IF(OR('节点与说明'!H15="不适用",3&gt;'时间线'!$C$9+1),"",IF(AND(3&gt;='节点与说明'!O15,3&lt;='节点与说明'!P15),2,IF(AND(3&gt;='节点与说明'!O15-'节点与说明'!G15,3&lt;'节点与说明'!O15),1,"")))</x:f>
      </x:c>
      <x:c r="K22" s="13" t="str">
        <x:f>IF(OR('节点与说明'!H15="不适用",4&gt;'时间线'!$C$9+1),"",IF(AND(4&gt;='节点与说明'!O15,4&lt;='节点与说明'!P15),2,IF(AND(4&gt;='节点与说明'!O15-'节点与说明'!G15,4&lt;'节点与说明'!O15),1,"")))</x:f>
      </x:c>
      <x:c r="L22" s="13" t="str">
        <x:f>IF(OR('节点与说明'!H15="不适用",5&gt;'时间线'!$C$9+1),"",IF(AND(5&gt;='节点与说明'!O15,5&lt;='节点与说明'!P15),2,IF(AND(5&gt;='节点与说明'!O15-'节点与说明'!G15,5&lt;'节点与说明'!O15),1,"")))</x:f>
      </x:c>
      <x:c r="M22" s="13" t="str">
        <x:f>IF(OR('节点与说明'!H15="不适用",6&gt;'时间线'!$C$9+1),"",IF(AND(6&gt;='节点与说明'!O15,6&lt;='节点与说明'!P15),2,IF(AND(6&gt;='节点与说明'!O15-'节点与说明'!G15,6&lt;'节点与说明'!O15),1,"")))</x:f>
      </x:c>
      <x:c r="N22" s="13" t="str">
        <x:f>IF(OR('节点与说明'!H15="不适用",7&gt;'时间线'!$C$9+1),"",IF(AND(7&gt;='节点与说明'!O15,7&lt;='节点与说明'!P15),2,IF(AND(7&gt;='节点与说明'!O15-'节点与说明'!G15,7&lt;'节点与说明'!O15),1,"")))</x:f>
      </x:c>
      <x:c r="O22" s="13" t="str">
        <x:f>IF(OR('节点与说明'!H15="不适用",8&gt;'时间线'!$C$9+1),"",IF(AND(8&gt;='节点与说明'!O15,8&lt;='节点与说明'!P15),2,IF(AND(8&gt;='节点与说明'!O15-'节点与说明'!G15,8&lt;'节点与说明'!O15),1,"")))</x:f>
      </x:c>
      <x:c r="P22" s="13" t="str">
        <x:f>IF(OR('节点与说明'!H15="不适用",9&gt;'时间线'!$C$9+1),"",IF(AND(9&gt;='节点与说明'!O15,9&lt;='节点与说明'!P15),2,IF(AND(9&gt;='节点与说明'!O15-'节点与说明'!G15,9&lt;'节点与说明'!O15),1,"")))</x:f>
      </x:c>
      <x:c r="Q22" s="13" t="str">
        <x:f>IF(OR('节点与说明'!H15="不适用",10&gt;'时间线'!$C$9+1),"",IF(AND(10&gt;='节点与说明'!O15,10&lt;='节点与说明'!P15),2,IF(AND(10&gt;='节点与说明'!O15-'节点与说明'!G15,10&lt;'节点与说明'!O15),1,"")))</x:f>
      </x:c>
      <x:c r="R22" s="13" t="str">
        <x:f>IF(OR('节点与说明'!H15="不适用",11&gt;'时间线'!$C$9+1),"",IF(AND(11&gt;='节点与说明'!O15,11&lt;='节点与说明'!P15),2,IF(AND(11&gt;='节点与说明'!O15-'节点与说明'!G15,11&lt;'节点与说明'!O15),1,"")))</x:f>
      </x:c>
      <x:c r="S22" s="13" t="n">
        <x:f>IF(OR('节点与说明'!H15="不适用",12&gt;'时间线'!$C$9+1),"",IF(AND(12&gt;='节点与说明'!O15,12&lt;='节点与说明'!P15),2,IF(AND(12&gt;='节点与说明'!O15-'节点与说明'!G15,12&lt;'节点与说明'!O15),1,"")))</x:f>
        <x:v>1</x:v>
      </x:c>
      <x:c r="T22" s="13" t="n">
        <x:f>IF(OR('节点与说明'!H15="不适用",13&gt;'时间线'!$C$9+1),"",IF(AND(13&gt;='节点与说明'!O15,13&lt;='节点与说明'!P15),2,IF(AND(13&gt;='节点与说明'!O15-'节点与说明'!G15,13&lt;'节点与说明'!O15),1,"")))</x:f>
        <x:v>2</x:v>
      </x:c>
      <x:c r="U22" s="13" t="str">
        <x:f>IF(OR('节点与说明'!H15="不适用",14&gt;'时间线'!$C$9+1),"",IF(AND(14&gt;='节点与说明'!O15,14&lt;='节点与说明'!P15),2,IF(AND(14&gt;='节点与说明'!O15-'节点与说明'!G15,14&lt;'节点与说明'!O15),1,"")))</x:f>
      </x:c>
      <x:c r="V22" s="13" t="str">
        <x:f>IF(OR('节点与说明'!H15="不适用",15&gt;'时间线'!$C$9+1),"",IF(AND(15&gt;='节点与说明'!O15,15&lt;='节点与说明'!P15),2,IF(AND(15&gt;='节点与说明'!O15-'节点与说明'!G15,15&lt;'节点与说明'!O15),1,"")))</x:f>
      </x:c>
      <x:c r="W22" s="13" t="str">
        <x:f>IF(OR('节点与说明'!H15="不适用",16&gt;'时间线'!$C$9+1),"",IF(AND(16&gt;='节点与说明'!O15,16&lt;='节点与说明'!P15),2,IF(AND(16&gt;='节点与说明'!O15-'节点与说明'!G15,16&lt;'节点与说明'!O15),1,"")))</x:f>
      </x:c>
      <x:c r="X22" s="13" t="str">
        <x:f>IF(OR('节点与说明'!H15="不适用",17&gt;'时间线'!$C$9+1),"",IF(AND(17&gt;='节点与说明'!O15,17&lt;='节点与说明'!P15),2,IF(AND(17&gt;='节点与说明'!O15-'节点与说明'!G15,17&lt;'节点与说明'!O15),1,"")))</x:f>
      </x:c>
      <x:c r="Y22" s="13" t="str">
        <x:f>IF(OR('节点与说明'!H15="不适用",18&gt;'时间线'!$C$9+1),"",IF(AND(18&gt;='节点与说明'!O15,18&lt;='节点与说明'!P15),2,IF(AND(18&gt;='节点与说明'!O15-'节点与说明'!G15,18&lt;'节点与说明'!O15),1,"")))</x:f>
      </x:c>
      <x:c r="Z22" s="13" t="str">
        <x:f>IF(OR('节点与说明'!H15="不适用",19&gt;'时间线'!$C$9+1),"",IF(AND(19&gt;='节点与说明'!O15,19&lt;='节点与说明'!P15),2,IF(AND(19&gt;='节点与说明'!O15-'节点与说明'!G15,19&lt;'节点与说明'!O15),1,"")))</x:f>
      </x:c>
      <x:c r="AA22" s="13" t="str">
        <x:f>IF(OR('节点与说明'!H15="不适用",20&gt;'时间线'!$C$9+1),"",IF(AND(20&gt;='节点与说明'!O15,20&lt;='节点与说明'!P15),2,IF(AND(20&gt;='节点与说明'!O15-'节点与说明'!G15,20&lt;'节点与说明'!O15),1,"")))</x:f>
      </x:c>
      <x:c r="AB22" s="13" t="str">
        <x:f>IF(OR('节点与说明'!H15="不适用",21&gt;'时间线'!$C$9+1),"",IF(AND(21&gt;='节点与说明'!O15,21&lt;='节点与说明'!P15),2,IF(AND(21&gt;='节点与说明'!O15-'节点与说明'!G15,21&lt;'节点与说明'!O15),1,"")))</x:f>
      </x:c>
      <x:c r="AC22" s="13" t="str">
        <x:f>IF(OR('节点与说明'!H15="不适用",22&gt;'时间线'!$C$9+1),"",IF(AND(22&gt;='节点与说明'!O15,22&lt;='节点与说明'!P15),2,IF(AND(22&gt;='节点与说明'!O15-'节点与说明'!G15,22&lt;'节点与说明'!O15),1,"")))</x:f>
      </x:c>
      <x:c r="AD22" s="13" t="str">
        <x:f>IF(OR('节点与说明'!H15="不适用",23&gt;'时间线'!$C$9+1),"",IF(AND(23&gt;='节点与说明'!O15,23&lt;='节点与说明'!P15),2,IF(AND(23&gt;='节点与说明'!O15-'节点与说明'!G15,23&lt;'节点与说明'!O15),1,"")))</x:f>
      </x:c>
      <x:c r="AE22" s="13" t="str">
        <x:f>IF(OR('节点与说明'!H15="不适用",24&gt;'时间线'!$C$9+1),"",IF(AND(24&gt;='节点与说明'!O15,24&lt;='节点与说明'!P15),2,IF(AND(24&gt;='节点与说明'!O15-'节点与说明'!G15,24&lt;'节点与说明'!O15),1,"")))</x:f>
      </x:c>
      <x:c r="AF22" s="13" t="str">
        <x:f>IF(OR('节点与说明'!H15="不适用",25&gt;'时间线'!$C$9+1),"",IF(AND(25&gt;='节点与说明'!O15,25&lt;='节点与说明'!P15),2,IF(AND(25&gt;='节点与说明'!O15-'节点与说明'!G15,25&lt;'节点与说明'!O15),1,"")))</x:f>
      </x:c>
      <x:c r="AG22" s="13" t="str">
        <x:f>IF(OR('节点与说明'!H15="不适用",26&gt;'时间线'!$C$9+1),"",IF(AND(26&gt;='节点与说明'!O15,26&lt;='节点与说明'!P15),2,IF(AND(26&gt;='节点与说明'!O15-'节点与说明'!G15,26&lt;'节点与说明'!O15),1,"")))</x:f>
      </x:c>
      <x:c r="AH22" s="13" t="str">
        <x:f>IF(OR('节点与说明'!H15="不适用",27&gt;'时间线'!$C$9+1),"",IF(AND(27&gt;='节点与说明'!O15,27&lt;='节点与说明'!P15),2,IF(AND(27&gt;='节点与说明'!O15-'节点与说明'!G15,27&lt;'节点与说明'!O15),1,"")))</x:f>
      </x:c>
      <x:c r="AI22" s="13" t="str">
        <x:f>IF(OR('节点与说明'!H15="不适用",28&gt;'时间线'!$C$9+1),"",IF(AND(28&gt;='节点与说明'!O15,28&lt;='节点与说明'!P15),2,IF(AND(28&gt;='节点与说明'!O15-'节点与说明'!G15,28&lt;'节点与说明'!O15),1,"")))</x:f>
      </x:c>
      <x:c r="AJ22" s="13" t="str">
        <x:f>IF(OR('节点与说明'!H15="不适用",29&gt;'时间线'!$C$9+1),"",IF(AND(29&gt;='节点与说明'!O15,29&lt;='节点与说明'!P15),2,IF(AND(29&gt;='节点与说明'!O15-'节点与说明'!G15,29&lt;'节点与说明'!O15),1,"")))</x:f>
      </x:c>
      <x:c r="AK22" s="13" t="str">
        <x:f>IF(OR('节点与说明'!H15="不适用",30&gt;'时间线'!$C$9+1),"",IF(AND(30&gt;='节点与说明'!O15,30&lt;='节点与说明'!P15),2,IF(AND(30&gt;='节点与说明'!O15-'节点与说明'!G15,30&lt;'节点与说明'!O15),1,"")))</x:f>
      </x:c>
      <x:c r="AL22" s="13" t="str">
        <x:f>IF(OR('节点与说明'!H15="不适用",31&gt;'时间线'!$C$9+1),"",IF(AND(31&gt;='节点与说明'!O15,31&lt;='节点与说明'!P15),2,IF(AND(31&gt;='节点与说明'!O15-'节点与说明'!G15,31&lt;'节点与说明'!O15),1,"")))</x:f>
      </x:c>
      <x:c r="AM22" s="13" t="str">
        <x:f>IF(OR('节点与说明'!H15="不适用",32&gt;'时间线'!$C$9+1),"",IF(AND(32&gt;='节点与说明'!O15,32&lt;='节点与说明'!P15),2,IF(AND(32&gt;='节点与说明'!O15-'节点与说明'!G15,32&lt;'节点与说明'!O15),1,"")))</x:f>
      </x:c>
      <x:c r="AN22" s="13" t="str">
        <x:f>IF(OR('节点与说明'!H15="不适用",33&gt;'时间线'!$C$9+1),"",IF(AND(33&gt;='节点与说明'!O15,33&lt;='节点与说明'!P15),2,IF(AND(33&gt;='节点与说明'!O15-'节点与说明'!G15,33&lt;'节点与说明'!O15),1,"")))</x:f>
      </x:c>
      <x:c r="AO22" s="13" t="str">
        <x:f>IF(OR('节点与说明'!H15="不适用",34&gt;'时间线'!$C$9+1),"",IF(AND(34&gt;='节点与说明'!O15,34&lt;='节点与说明'!P15),2,IF(AND(34&gt;='节点与说明'!O15-'节点与说明'!G15,34&lt;'节点与说明'!O15),1,"")))</x:f>
      </x:c>
      <x:c r="AP22" s="13" t="str">
        <x:f>IF(OR('节点与说明'!H15="不适用",35&gt;'时间线'!$C$9+1),"",IF(AND(35&gt;='节点与说明'!O15,35&lt;='节点与说明'!P15),2,IF(AND(35&gt;='节点与说明'!O15-'节点与说明'!G15,35&lt;'节点与说明'!O15),1,"")))</x:f>
      </x:c>
      <x:c r="AQ22" s="2"/>
      <x:c r="AR22" s="11" t="str">
        <x:f>'节点与说明'!N15</x:f>
        <x:v>实践开始即设月度记录，不等中期才补写。</x:v>
      </x:c>
    </x:row>
    <x:row r="23" ht="38" customHeight="1">
      <x:c r="A23" s="2" t="str">
        <x:f>'节点与说明'!A16</x:f>
        <x:v>A21</x:v>
      </x:c>
      <x:c r="B23" s="15" t="str">
        <x:f>'节点与说明'!B16</x:f>
        <x:v>培养</x:v>
      </x:c>
      <x:c r="C23" s="11" t="str">
        <x:f>'节点与说明'!C16</x:f>
        <x:v>专硕实践结束答辩考核</x:v>
      </x:c>
      <x:c r="D23" s="2" t="str">
        <x:f>'节点与说明'!H16</x:f>
        <x:v>待确认</x:v>
      </x:c>
      <x:c r="E23" s="2" t="n">
        <x:f>'节点与说明'!G16</x:f>
        <x:v>1</x:v>
      </x:c>
      <x:c r="F23" s="2" t="str">
        <x:f>'节点与说明'!S16</x:f>
        <x:v>研2·6月</x:v>
      </x:c>
      <x:c r="G23" s="13" t="str">
        <x:f>IF(OR('节点与说明'!H16="不适用",0&gt;'时间线'!$C$9+1),"",IF(AND(0&gt;='节点与说明'!O16,0&lt;='节点与说明'!P16),2,IF(AND(0&gt;='节点与说明'!O16-'节点与说明'!G16,0&lt;'节点与说明'!O16),1,"")))</x:f>
      </x:c>
      <x:c r="H23" s="13" t="str">
        <x:f>IF(OR('节点与说明'!H16="不适用",1&gt;'时间线'!$C$9+1),"",IF(AND(1&gt;='节点与说明'!O16,1&lt;='节点与说明'!P16),2,IF(AND(1&gt;='节点与说明'!O16-'节点与说明'!G16,1&lt;'节点与说明'!O16),1,"")))</x:f>
      </x:c>
      <x:c r="I23" s="13" t="str">
        <x:f>IF(OR('节点与说明'!H16="不适用",2&gt;'时间线'!$C$9+1),"",IF(AND(2&gt;='节点与说明'!O16,2&lt;='节点与说明'!P16),2,IF(AND(2&gt;='节点与说明'!O16-'节点与说明'!G16,2&lt;'节点与说明'!O16),1,"")))</x:f>
      </x:c>
      <x:c r="J23" s="13" t="str">
        <x:f>IF(OR('节点与说明'!H16="不适用",3&gt;'时间线'!$C$9+1),"",IF(AND(3&gt;='节点与说明'!O16,3&lt;='节点与说明'!P16),2,IF(AND(3&gt;='节点与说明'!O16-'节点与说明'!G16,3&lt;'节点与说明'!O16),1,"")))</x:f>
      </x:c>
      <x:c r="K23" s="13" t="str">
        <x:f>IF(OR('节点与说明'!H16="不适用",4&gt;'时间线'!$C$9+1),"",IF(AND(4&gt;='节点与说明'!O16,4&lt;='节点与说明'!P16),2,IF(AND(4&gt;='节点与说明'!O16-'节点与说明'!G16,4&lt;'节点与说明'!O16),1,"")))</x:f>
      </x:c>
      <x:c r="L23" s="13" t="str">
        <x:f>IF(OR('节点与说明'!H16="不适用",5&gt;'时间线'!$C$9+1),"",IF(AND(5&gt;='节点与说明'!O16,5&lt;='节点与说明'!P16),2,IF(AND(5&gt;='节点与说明'!O16-'节点与说明'!G16,5&lt;'节点与说明'!O16),1,"")))</x:f>
      </x:c>
      <x:c r="M23" s="13" t="str">
        <x:f>IF(OR('节点与说明'!H16="不适用",6&gt;'时间线'!$C$9+1),"",IF(AND(6&gt;='节点与说明'!O16,6&lt;='节点与说明'!P16),2,IF(AND(6&gt;='节点与说明'!O16-'节点与说明'!G16,6&lt;'节点与说明'!O16),1,"")))</x:f>
      </x:c>
      <x:c r="N23" s="13" t="str">
        <x:f>IF(OR('节点与说明'!H16="不适用",7&gt;'时间线'!$C$9+1),"",IF(AND(7&gt;='节点与说明'!O16,7&lt;='节点与说明'!P16),2,IF(AND(7&gt;='节点与说明'!O16-'节点与说明'!G16,7&lt;'节点与说明'!O16),1,"")))</x:f>
      </x:c>
      <x:c r="O23" s="13" t="str">
        <x:f>IF(OR('节点与说明'!H16="不适用",8&gt;'时间线'!$C$9+1),"",IF(AND(8&gt;='节点与说明'!O16,8&lt;='节点与说明'!P16),2,IF(AND(8&gt;='节点与说明'!O16-'节点与说明'!G16,8&lt;'节点与说明'!O16),1,"")))</x:f>
      </x:c>
      <x:c r="P23" s="13" t="str">
        <x:f>IF(OR('节点与说明'!H16="不适用",9&gt;'时间线'!$C$9+1),"",IF(AND(9&gt;='节点与说明'!O16,9&lt;='节点与说明'!P16),2,IF(AND(9&gt;='节点与说明'!O16-'节点与说明'!G16,9&lt;'节点与说明'!O16),1,"")))</x:f>
      </x:c>
      <x:c r="Q23" s="13" t="str">
        <x:f>IF(OR('节点与说明'!H16="不适用",10&gt;'时间线'!$C$9+1),"",IF(AND(10&gt;='节点与说明'!O16,10&lt;='节点与说明'!P16),2,IF(AND(10&gt;='节点与说明'!O16-'节点与说明'!G16,10&lt;'节点与说明'!O16),1,"")))</x:f>
      </x:c>
      <x:c r="R23" s="13" t="str">
        <x:f>IF(OR('节点与说明'!H16="不适用",11&gt;'时间线'!$C$9+1),"",IF(AND(11&gt;='节点与说明'!O16,11&lt;='节点与说明'!P16),2,IF(AND(11&gt;='节点与说明'!O16-'节点与说明'!G16,11&lt;'节点与说明'!O16),1,"")))</x:f>
      </x:c>
      <x:c r="S23" s="13" t="str">
        <x:f>IF(OR('节点与说明'!H16="不适用",12&gt;'时间线'!$C$9+1),"",IF(AND(12&gt;='节点与说明'!O16,12&lt;='节点与说明'!P16),2,IF(AND(12&gt;='节点与说明'!O16-'节点与说明'!G16,12&lt;'节点与说明'!O16),1,"")))</x:f>
      </x:c>
      <x:c r="T23" s="13" t="str">
        <x:f>IF(OR('节点与说明'!H16="不适用",13&gt;'时间线'!$C$9+1),"",IF(AND(13&gt;='节点与说明'!O16,13&lt;='节点与说明'!P16),2,IF(AND(13&gt;='节点与说明'!O16-'节点与说明'!G16,13&lt;'节点与说明'!O16),1,"")))</x:f>
      </x:c>
      <x:c r="U23" s="13" t="str">
        <x:f>IF(OR('节点与说明'!H16="不适用",14&gt;'时间线'!$C$9+1),"",IF(AND(14&gt;='节点与说明'!O16,14&lt;='节点与说明'!P16),2,IF(AND(14&gt;='节点与说明'!O16-'节点与说明'!G16,14&lt;'节点与说明'!O16),1,"")))</x:f>
      </x:c>
      <x:c r="V23" s="13" t="str">
        <x:f>IF(OR('节点与说明'!H16="不适用",15&gt;'时间线'!$C$9+1),"",IF(AND(15&gt;='节点与说明'!O16,15&lt;='节点与说明'!P16),2,IF(AND(15&gt;='节点与说明'!O16-'节点与说明'!G16,15&lt;'节点与说明'!O16),1,"")))</x:f>
      </x:c>
      <x:c r="W23" s="13" t="str">
        <x:f>IF(OR('节点与说明'!H16="不适用",16&gt;'时间线'!$C$9+1),"",IF(AND(16&gt;='节点与说明'!O16,16&lt;='节点与说明'!P16),2,IF(AND(16&gt;='节点与说明'!O16-'节点与说明'!G16,16&lt;'节点与说明'!O16),1,"")))</x:f>
      </x:c>
      <x:c r="X23" s="13" t="str">
        <x:f>IF(OR('节点与说明'!H16="不适用",17&gt;'时间线'!$C$9+1),"",IF(AND(17&gt;='节点与说明'!O16,17&lt;='节点与说明'!P16),2,IF(AND(17&gt;='节点与说明'!O16-'节点与说明'!G16,17&lt;'节点与说明'!O16),1,"")))</x:f>
      </x:c>
      <x:c r="Y23" s="13" t="str">
        <x:f>IF(OR('节点与说明'!H16="不适用",18&gt;'时间线'!$C$9+1),"",IF(AND(18&gt;='节点与说明'!O16,18&lt;='节点与说明'!P16),2,IF(AND(18&gt;='节点与说明'!O16-'节点与说明'!G16,18&lt;'节点与说明'!O16),1,"")))</x:f>
      </x:c>
      <x:c r="Z23" s="13" t="str">
        <x:f>IF(OR('节点与说明'!H16="不适用",19&gt;'时间线'!$C$9+1),"",IF(AND(19&gt;='节点与说明'!O16,19&lt;='节点与说明'!P16),2,IF(AND(19&gt;='节点与说明'!O16-'节点与说明'!G16,19&lt;'节点与说明'!O16),1,"")))</x:f>
      </x:c>
      <x:c r="AA23" s="13" t="str">
        <x:f>IF(OR('节点与说明'!H16="不适用",20&gt;'时间线'!$C$9+1),"",IF(AND(20&gt;='节点与说明'!O16,20&lt;='节点与说明'!P16),2,IF(AND(20&gt;='节点与说明'!O16-'节点与说明'!G16,20&lt;'节点与说明'!O16),1,"")))</x:f>
      </x:c>
      <x:c r="AB23" s="13" t="n">
        <x:f>IF(OR('节点与说明'!H16="不适用",21&gt;'时间线'!$C$9+1),"",IF(AND(21&gt;='节点与说明'!O16,21&lt;='节点与说明'!P16),2,IF(AND(21&gt;='节点与说明'!O16-'节点与说明'!G16,21&lt;'节点与说明'!O16),1,"")))</x:f>
        <x:v>1</x:v>
      </x:c>
      <x:c r="AC23" s="13" t="n">
        <x:f>IF(OR('节点与说明'!H16="不适用",22&gt;'时间线'!$C$9+1),"",IF(AND(22&gt;='节点与说明'!O16,22&lt;='节点与说明'!P16),2,IF(AND(22&gt;='节点与说明'!O16-'节点与说明'!G16,22&lt;'节点与说明'!O16),1,"")))</x:f>
        <x:v>2</x:v>
      </x:c>
      <x:c r="AD23" s="13" t="str">
        <x:f>IF(OR('节点与说明'!H16="不适用",23&gt;'时间线'!$C$9+1),"",IF(AND(23&gt;='节点与说明'!O16,23&lt;='节点与说明'!P16),2,IF(AND(23&gt;='节点与说明'!O16-'节点与说明'!G16,23&lt;'节点与说明'!O16),1,"")))</x:f>
      </x:c>
      <x:c r="AE23" s="13" t="str">
        <x:f>IF(OR('节点与说明'!H16="不适用",24&gt;'时间线'!$C$9+1),"",IF(AND(24&gt;='节点与说明'!O16,24&lt;='节点与说明'!P16),2,IF(AND(24&gt;='节点与说明'!O16-'节点与说明'!G16,24&lt;'节点与说明'!O16),1,"")))</x:f>
      </x:c>
      <x:c r="AF23" s="13" t="str">
        <x:f>IF(OR('节点与说明'!H16="不适用",25&gt;'时间线'!$C$9+1),"",IF(AND(25&gt;='节点与说明'!O16,25&lt;='节点与说明'!P16),2,IF(AND(25&gt;='节点与说明'!O16-'节点与说明'!G16,25&lt;'节点与说明'!O16),1,"")))</x:f>
      </x:c>
      <x:c r="AG23" s="13" t="str">
        <x:f>IF(OR('节点与说明'!H16="不适用",26&gt;'时间线'!$C$9+1),"",IF(AND(26&gt;='节点与说明'!O16,26&lt;='节点与说明'!P16),2,IF(AND(26&gt;='节点与说明'!O16-'节点与说明'!G16,26&lt;'节点与说明'!O16),1,"")))</x:f>
      </x:c>
      <x:c r="AH23" s="13" t="str">
        <x:f>IF(OR('节点与说明'!H16="不适用",27&gt;'时间线'!$C$9+1),"",IF(AND(27&gt;='节点与说明'!O16,27&lt;='节点与说明'!P16),2,IF(AND(27&gt;='节点与说明'!O16-'节点与说明'!G16,27&lt;'节点与说明'!O16),1,"")))</x:f>
      </x:c>
      <x:c r="AI23" s="13" t="str">
        <x:f>IF(OR('节点与说明'!H16="不适用",28&gt;'时间线'!$C$9+1),"",IF(AND(28&gt;='节点与说明'!O16,28&lt;='节点与说明'!P16),2,IF(AND(28&gt;='节点与说明'!O16-'节点与说明'!G16,28&lt;'节点与说明'!O16),1,"")))</x:f>
      </x:c>
      <x:c r="AJ23" s="13" t="str">
        <x:f>IF(OR('节点与说明'!H16="不适用",29&gt;'时间线'!$C$9+1),"",IF(AND(29&gt;='节点与说明'!O16,29&lt;='节点与说明'!P16),2,IF(AND(29&gt;='节点与说明'!O16-'节点与说明'!G16,29&lt;'节点与说明'!O16),1,"")))</x:f>
      </x:c>
      <x:c r="AK23" s="13" t="str">
        <x:f>IF(OR('节点与说明'!H16="不适用",30&gt;'时间线'!$C$9+1),"",IF(AND(30&gt;='节点与说明'!O16,30&lt;='节点与说明'!P16),2,IF(AND(30&gt;='节点与说明'!O16-'节点与说明'!G16,30&lt;'节点与说明'!O16),1,"")))</x:f>
      </x:c>
      <x:c r="AL23" s="13" t="str">
        <x:f>IF(OR('节点与说明'!H16="不适用",31&gt;'时间线'!$C$9+1),"",IF(AND(31&gt;='节点与说明'!O16,31&lt;='节点与说明'!P16),2,IF(AND(31&gt;='节点与说明'!O16-'节点与说明'!G16,31&lt;'节点与说明'!O16),1,"")))</x:f>
      </x:c>
      <x:c r="AM23" s="13" t="str">
        <x:f>IF(OR('节点与说明'!H16="不适用",32&gt;'时间线'!$C$9+1),"",IF(AND(32&gt;='节点与说明'!O16,32&lt;='节点与说明'!P16),2,IF(AND(32&gt;='节点与说明'!O16-'节点与说明'!G16,32&lt;'节点与说明'!O16),1,"")))</x:f>
      </x:c>
      <x:c r="AN23" s="13" t="str">
        <x:f>IF(OR('节点与说明'!H16="不适用",33&gt;'时间线'!$C$9+1),"",IF(AND(33&gt;='节点与说明'!O16,33&lt;='节点与说明'!P16),2,IF(AND(33&gt;='节点与说明'!O16-'节点与说明'!G16,33&lt;'节点与说明'!O16),1,"")))</x:f>
      </x:c>
      <x:c r="AO23" s="13" t="str">
        <x:f>IF(OR('节点与说明'!H16="不适用",34&gt;'时间线'!$C$9+1),"",IF(AND(34&gt;='节点与说明'!O16,34&lt;='节点与说明'!P16),2,IF(AND(34&gt;='节点与说明'!O16-'节点与说明'!G16,34&lt;'节点与说明'!O16),1,"")))</x:f>
      </x:c>
      <x:c r="AP23" s="13" t="str">
        <x:f>IF(OR('节点与说明'!H16="不适用",35&gt;'时间线'!$C$9+1),"",IF(AND(35&gt;='节点与说明'!O16,35&lt;='节点与说明'!P16),2,IF(AND(35&gt;='节点与说明'!O16-'节点与说明'!G16,35&lt;'节点与说明'!O16),1,"")))</x:f>
      </x:c>
      <x:c r="AQ23" s="2"/>
      <x:c r="AR23" s="11" t="str">
        <x:f>'节点与说明'!N16</x:f>
        <x:v>结束前2–3周收齐记录与签字，离岗前确认后续材料联系人。</x:v>
      </x:c>
    </x:row>
    <x:row r="24" ht="38" customHeight="1">
      <x:c r="A24" s="2" t="str">
        <x:f>'节点与说明'!A17</x:f>
        <x:v>A06</x:v>
      </x:c>
      <x:c r="B24" s="15" t="str">
        <x:f>'节点与说明'!B17</x:f>
        <x:v>培养</x:v>
      </x:c>
      <x:c r="C24" s="11" t="str">
        <x:f>'节点与说明'!C17</x:f>
        <x:v>论文／实践成果中期考核</x:v>
      </x:c>
      <x:c r="D24" s="2" t="str">
        <x:f>'节点与说明'!H17</x:f>
        <x:v>待确认</x:v>
      </x:c>
      <x:c r="E24" s="2" t="n">
        <x:f>'节点与说明'!G17</x:f>
        <x:v>3</x:v>
      </x:c>
      <x:c r="F24" s="2" t="str">
        <x:f>'节点与说明'!S17</x:f>
        <x:v>研2·3月</x:v>
      </x:c>
      <x:c r="G24" s="13" t="str">
        <x:f>IF(OR('节点与说明'!H17="不适用",0&gt;'时间线'!$C$9+1),"",IF(AND(0&gt;='节点与说明'!O17,0&lt;='节点与说明'!P17),2,IF(AND(0&gt;='节点与说明'!O17-'节点与说明'!G17,0&lt;'节点与说明'!O17),1,"")))</x:f>
      </x:c>
      <x:c r="H24" s="13" t="str">
        <x:f>IF(OR('节点与说明'!H17="不适用",1&gt;'时间线'!$C$9+1),"",IF(AND(1&gt;='节点与说明'!O17,1&lt;='节点与说明'!P17),2,IF(AND(1&gt;='节点与说明'!O17-'节点与说明'!G17,1&lt;'节点与说明'!O17),1,"")))</x:f>
      </x:c>
      <x:c r="I24" s="13" t="str">
        <x:f>IF(OR('节点与说明'!H17="不适用",2&gt;'时间线'!$C$9+1),"",IF(AND(2&gt;='节点与说明'!O17,2&lt;='节点与说明'!P17),2,IF(AND(2&gt;='节点与说明'!O17-'节点与说明'!G17,2&lt;'节点与说明'!O17),1,"")))</x:f>
      </x:c>
      <x:c r="J24" s="13" t="str">
        <x:f>IF(OR('节点与说明'!H17="不适用",3&gt;'时间线'!$C$9+1),"",IF(AND(3&gt;='节点与说明'!O17,3&lt;='节点与说明'!P17),2,IF(AND(3&gt;='节点与说明'!O17-'节点与说明'!G17,3&lt;'节点与说明'!O17),1,"")))</x:f>
      </x:c>
      <x:c r="K24" s="13" t="str">
        <x:f>IF(OR('节点与说明'!H17="不适用",4&gt;'时间线'!$C$9+1),"",IF(AND(4&gt;='节点与说明'!O17,4&lt;='节点与说明'!P17),2,IF(AND(4&gt;='节点与说明'!O17-'节点与说明'!G17,4&lt;'节点与说明'!O17),1,"")))</x:f>
      </x:c>
      <x:c r="L24" s="13" t="str">
        <x:f>IF(OR('节点与说明'!H17="不适用",5&gt;'时间线'!$C$9+1),"",IF(AND(5&gt;='节点与说明'!O17,5&lt;='节点与说明'!P17),2,IF(AND(5&gt;='节点与说明'!O17-'节点与说明'!G17,5&lt;'节点与说明'!O17),1,"")))</x:f>
      </x:c>
      <x:c r="M24" s="13" t="str">
        <x:f>IF(OR('节点与说明'!H17="不适用",6&gt;'时间线'!$C$9+1),"",IF(AND(6&gt;='节点与说明'!O17,6&lt;='节点与说明'!P17),2,IF(AND(6&gt;='节点与说明'!O17-'节点与说明'!G17,6&lt;'节点与说明'!O17),1,"")))</x:f>
      </x:c>
      <x:c r="N24" s="13" t="str">
        <x:f>IF(OR('节点与说明'!H17="不适用",7&gt;'时间线'!$C$9+1),"",IF(AND(7&gt;='节点与说明'!O17,7&lt;='节点与说明'!P17),2,IF(AND(7&gt;='节点与说明'!O17-'节点与说明'!G17,7&lt;'节点与说明'!O17),1,"")))</x:f>
      </x:c>
      <x:c r="O24" s="13" t="str">
        <x:f>IF(OR('节点与说明'!H17="不适用",8&gt;'时间线'!$C$9+1),"",IF(AND(8&gt;='节点与说明'!O17,8&lt;='节点与说明'!P17),2,IF(AND(8&gt;='节点与说明'!O17-'节点与说明'!G17,8&lt;'节点与说明'!O17),1,"")))</x:f>
      </x:c>
      <x:c r="P24" s="13" t="str">
        <x:f>IF(OR('节点与说明'!H17="不适用",9&gt;'时间线'!$C$9+1),"",IF(AND(9&gt;='节点与说明'!O17,9&lt;='节点与说明'!P17),2,IF(AND(9&gt;='节点与说明'!O17-'节点与说明'!G17,9&lt;'节点与说明'!O17),1,"")))</x:f>
      </x:c>
      <x:c r="Q24" s="13" t="str">
        <x:f>IF(OR('节点与说明'!H17="不适用",10&gt;'时间线'!$C$9+1),"",IF(AND(10&gt;='节点与说明'!O17,10&lt;='节点与说明'!P17),2,IF(AND(10&gt;='节点与说明'!O17-'节点与说明'!G17,10&lt;'节点与说明'!O17),1,"")))</x:f>
      </x:c>
      <x:c r="R24" s="13" t="str">
        <x:f>IF(OR('节点与说明'!H17="不适用",11&gt;'时间线'!$C$9+1),"",IF(AND(11&gt;='节点与说明'!O17,11&lt;='节点与说明'!P17),2,IF(AND(11&gt;='节点与说明'!O17-'节点与说明'!G17,11&lt;'节点与说明'!O17),1,"")))</x:f>
      </x:c>
      <x:c r="S24" s="13" t="str">
        <x:f>IF(OR('节点与说明'!H17="不适用",12&gt;'时间线'!$C$9+1),"",IF(AND(12&gt;='节点与说明'!O17,12&lt;='节点与说明'!P17),2,IF(AND(12&gt;='节点与说明'!O17-'节点与说明'!G17,12&lt;'节点与说明'!O17),1,"")))</x:f>
      </x:c>
      <x:c r="T24" s="13" t="str">
        <x:f>IF(OR('节点与说明'!H17="不适用",13&gt;'时间线'!$C$9+1),"",IF(AND(13&gt;='节点与说明'!O17,13&lt;='节点与说明'!P17),2,IF(AND(13&gt;='节点与说明'!O17-'节点与说明'!G17,13&lt;'节点与说明'!O17),1,"")))</x:f>
      </x:c>
      <x:c r="U24" s="13" t="str">
        <x:f>IF(OR('节点与说明'!H17="不适用",14&gt;'时间线'!$C$9+1),"",IF(AND(14&gt;='节点与说明'!O17,14&lt;='节点与说明'!P17),2,IF(AND(14&gt;='节点与说明'!O17-'节点与说明'!G17,14&lt;'节点与说明'!O17),1,"")))</x:f>
      </x:c>
      <x:c r="V24" s="13" t="str">
        <x:f>IF(OR('节点与说明'!H17="不适用",15&gt;'时间线'!$C$9+1),"",IF(AND(15&gt;='节点与说明'!O17,15&lt;='节点与说明'!P17),2,IF(AND(15&gt;='节点与说明'!O17-'节点与说明'!G17,15&lt;'节点与说明'!O17),1,"")))</x:f>
      </x:c>
      <x:c r="W24" s="13" t="str">
        <x:f>IF(OR('节点与说明'!H17="不适用",16&gt;'时间线'!$C$9+1),"",IF(AND(16&gt;='节点与说明'!O17,16&lt;='节点与说明'!P17),2,IF(AND(16&gt;='节点与说明'!O17-'节点与说明'!G17,16&lt;'节点与说明'!O17),1,"")))</x:f>
      </x:c>
      <x:c r="X24" s="13" t="str">
        <x:f>IF(OR('节点与说明'!H17="不适用",17&gt;'时间线'!$C$9+1),"",IF(AND(17&gt;='节点与说明'!O17,17&lt;='节点与说明'!P17),2,IF(AND(17&gt;='节点与说明'!O17-'节点与说明'!G17,17&lt;'节点与说明'!O17),1,"")))</x:f>
      </x:c>
      <x:c r="Y24" s="13" t="n">
        <x:f>IF(OR('节点与说明'!H17="不适用",18&gt;'时间线'!$C$9+1),"",IF(AND(18&gt;='节点与说明'!O17,18&lt;='节点与说明'!P17),2,IF(AND(18&gt;='节点与说明'!O17-'节点与说明'!G17,18&lt;'节点与说明'!O17),1,"")))</x:f>
        <x:v>1</x:v>
      </x:c>
      <x:c r="Z24" s="13" t="n">
        <x:f>IF(OR('节点与说明'!H17="不适用",19&gt;'时间线'!$C$9+1),"",IF(AND(19&gt;='节点与说明'!O17,19&lt;='节点与说明'!P17),2,IF(AND(19&gt;='节点与说明'!O17-'节点与说明'!G17,19&lt;'节点与说明'!O17),1,"")))</x:f>
        <x:v>1</x:v>
      </x:c>
      <x:c r="AA24" s="13" t="n">
        <x:f>IF(OR('节点与说明'!H17="不适用",20&gt;'时间线'!$C$9+1),"",IF(AND(20&gt;='节点与说明'!O17,20&lt;='节点与说明'!P17),2,IF(AND(20&gt;='节点与说明'!O17-'节点与说明'!G17,20&lt;'节点与说明'!O17),1,"")))</x:f>
        <x:v>1</x:v>
      </x:c>
      <x:c r="AB24" s="13" t="n">
        <x:f>IF(OR('节点与说明'!H17="不适用",21&gt;'时间线'!$C$9+1),"",IF(AND(21&gt;='节点与说明'!O17,21&lt;='节点与说明'!P17),2,IF(AND(21&gt;='节点与说明'!O17-'节点与说明'!G17,21&lt;'节点与说明'!O17),1,"")))</x:f>
        <x:v>2</x:v>
      </x:c>
      <x:c r="AC24" s="13" t="n">
        <x:f>IF(OR('节点与说明'!H17="不适用",22&gt;'时间线'!$C$9+1),"",IF(AND(22&gt;='节点与说明'!O17,22&lt;='节点与说明'!P17),2,IF(AND(22&gt;='节点与说明'!O17-'节点与说明'!G17,22&lt;'节点与说明'!O17),1,"")))</x:f>
        <x:v>2</x:v>
      </x:c>
      <x:c r="AD24" s="13" t="n">
        <x:f>IF(OR('节点与说明'!H17="不适用",23&gt;'时间线'!$C$9+1),"",IF(AND(23&gt;='节点与说明'!O17,23&lt;='节点与说明'!P17),2,IF(AND(23&gt;='节点与说明'!O17-'节点与说明'!G17,23&lt;'节点与说明'!O17),1,"")))</x:f>
        <x:v>2</x:v>
      </x:c>
      <x:c r="AE24" s="13" t="str">
        <x:f>IF(OR('节点与说明'!H17="不适用",24&gt;'时间线'!$C$9+1),"",IF(AND(24&gt;='节点与说明'!O17,24&lt;='节点与说明'!P17),2,IF(AND(24&gt;='节点与说明'!O17-'节点与说明'!G17,24&lt;'节点与说明'!O17),1,"")))</x:f>
      </x:c>
      <x:c r="AF24" s="13" t="str">
        <x:f>IF(OR('节点与说明'!H17="不适用",25&gt;'时间线'!$C$9+1),"",IF(AND(25&gt;='节点与说明'!O17,25&lt;='节点与说明'!P17),2,IF(AND(25&gt;='节点与说明'!O17-'节点与说明'!G17,25&lt;'节点与说明'!O17),1,"")))</x:f>
      </x:c>
      <x:c r="AG24" s="13" t="str">
        <x:f>IF(OR('节点与说明'!H17="不适用",26&gt;'时间线'!$C$9+1),"",IF(AND(26&gt;='节点与说明'!O17,26&lt;='节点与说明'!P17),2,IF(AND(26&gt;='节点与说明'!O17-'节点与说明'!G17,26&lt;'节点与说明'!O17),1,"")))</x:f>
      </x:c>
      <x:c r="AH24" s="13" t="str">
        <x:f>IF(OR('节点与说明'!H17="不适用",27&gt;'时间线'!$C$9+1),"",IF(AND(27&gt;='节点与说明'!O17,27&lt;='节点与说明'!P17),2,IF(AND(27&gt;='节点与说明'!O17-'节点与说明'!G17,27&lt;'节点与说明'!O17),1,"")))</x:f>
      </x:c>
      <x:c r="AI24" s="13" t="str">
        <x:f>IF(OR('节点与说明'!H17="不适用",28&gt;'时间线'!$C$9+1),"",IF(AND(28&gt;='节点与说明'!O17,28&lt;='节点与说明'!P17),2,IF(AND(28&gt;='节点与说明'!O17-'节点与说明'!G17,28&lt;'节点与说明'!O17),1,"")))</x:f>
      </x:c>
      <x:c r="AJ24" s="13" t="str">
        <x:f>IF(OR('节点与说明'!H17="不适用",29&gt;'时间线'!$C$9+1),"",IF(AND(29&gt;='节点与说明'!O17,29&lt;='节点与说明'!P17),2,IF(AND(29&gt;='节点与说明'!O17-'节点与说明'!G17,29&lt;'节点与说明'!O17),1,"")))</x:f>
      </x:c>
      <x:c r="AK24" s="13" t="str">
        <x:f>IF(OR('节点与说明'!H17="不适用",30&gt;'时间线'!$C$9+1),"",IF(AND(30&gt;='节点与说明'!O17,30&lt;='节点与说明'!P17),2,IF(AND(30&gt;='节点与说明'!O17-'节点与说明'!G17,30&lt;'节点与说明'!O17),1,"")))</x:f>
      </x:c>
      <x:c r="AL24" s="13" t="str">
        <x:f>IF(OR('节点与说明'!H17="不适用",31&gt;'时间线'!$C$9+1),"",IF(AND(31&gt;='节点与说明'!O17,31&lt;='节点与说明'!P17),2,IF(AND(31&gt;='节点与说明'!O17-'节点与说明'!G17,31&lt;'节点与说明'!O17),1,"")))</x:f>
      </x:c>
      <x:c r="AM24" s="13" t="str">
        <x:f>IF(OR('节点与说明'!H17="不适用",32&gt;'时间线'!$C$9+1),"",IF(AND(32&gt;='节点与说明'!O17,32&lt;='节点与说明'!P17),2,IF(AND(32&gt;='节点与说明'!O17-'节点与说明'!G17,32&lt;'节点与说明'!O17),1,"")))</x:f>
      </x:c>
      <x:c r="AN24" s="13" t="str">
        <x:f>IF(OR('节点与说明'!H17="不适用",33&gt;'时间线'!$C$9+1),"",IF(AND(33&gt;='节点与说明'!O17,33&lt;='节点与说明'!P17),2,IF(AND(33&gt;='节点与说明'!O17-'节点与说明'!G17,33&lt;'节点与说明'!O17),1,"")))</x:f>
      </x:c>
      <x:c r="AO24" s="13" t="str">
        <x:f>IF(OR('节点与说明'!H17="不适用",34&gt;'时间线'!$C$9+1),"",IF(AND(34&gt;='节点与说明'!O17,34&lt;='节点与说明'!P17),2,IF(AND(34&gt;='节点与说明'!O17-'节点与说明'!G17,34&lt;'节点与说明'!O17),1,"")))</x:f>
      </x:c>
      <x:c r="AP24" s="13" t="str">
        <x:f>IF(OR('节点与说明'!H17="不适用",35&gt;'时间线'!$C$9+1),"",IF(AND(35&gt;='节点与说明'!O17,35&lt;='节点与说明'!P17),2,IF(AND(35&gt;='节点与说明'!O17-'节点与说明'!G17,35&lt;'节点与说明'!O17),1,"")))</x:f>
      </x:c>
      <x:c r="AQ24" s="2"/>
      <x:c r="AR24" s="11" t="str">
        <x:f>'节点与说明'!N17</x:f>
        <x:v>提前3个月整理阶段结果，提前1个月由导师检查缺口。</x:v>
      </x:c>
    </x:row>
    <x:row r="25" ht="38" customHeight="1">
      <x:c r="A25" s="2" t="str">
        <x:f>'节点与说明'!A18</x:f>
        <x:v>A08</x:v>
      </x:c>
      <x:c r="B25" s="15" t="str">
        <x:f>'节点与说明'!B18</x:f>
        <x:v>培养</x:v>
      </x:c>
      <x:c r="C25" s="11" t="str">
        <x:f>'节点与说明'!C18</x:f>
        <x:v>学位成果与课程资格预核</x:v>
      </x:c>
      <x:c r="D25" s="2" t="str">
        <x:f>'节点与说明'!H18</x:f>
        <x:v>待确认</x:v>
      </x:c>
      <x:c r="E25" s="2" t="n">
        <x:f>'节点与说明'!G18</x:f>
        <x:v>0</x:v>
      </x:c>
      <x:c r="F25" s="2" t="str">
        <x:f>'节点与说明'!S18</x:f>
        <x:v>研2·6月</x:v>
      </x:c>
      <x:c r="G25" s="13" t="str">
        <x:f>IF(OR('节点与说明'!H18="不适用",0&gt;'时间线'!$C$9+1),"",IF(AND(0&gt;='节点与说明'!O18,0&lt;='节点与说明'!P18),2,IF(AND(0&gt;='节点与说明'!O18-'节点与说明'!G18,0&lt;'节点与说明'!O18),1,"")))</x:f>
      </x:c>
      <x:c r="H25" s="13" t="str">
        <x:f>IF(OR('节点与说明'!H18="不适用",1&gt;'时间线'!$C$9+1),"",IF(AND(1&gt;='节点与说明'!O18,1&lt;='节点与说明'!P18),2,IF(AND(1&gt;='节点与说明'!O18-'节点与说明'!G18,1&lt;'节点与说明'!O18),1,"")))</x:f>
      </x:c>
      <x:c r="I25" s="13" t="str">
        <x:f>IF(OR('节点与说明'!H18="不适用",2&gt;'时间线'!$C$9+1),"",IF(AND(2&gt;='节点与说明'!O18,2&lt;='节点与说明'!P18),2,IF(AND(2&gt;='节点与说明'!O18-'节点与说明'!G18,2&lt;'节点与说明'!O18),1,"")))</x:f>
      </x:c>
      <x:c r="J25" s="13" t="str">
        <x:f>IF(OR('节点与说明'!H18="不适用",3&gt;'时间线'!$C$9+1),"",IF(AND(3&gt;='节点与说明'!O18,3&lt;='节点与说明'!P18),2,IF(AND(3&gt;='节点与说明'!O18-'节点与说明'!G18,3&lt;'节点与说明'!O18),1,"")))</x:f>
      </x:c>
      <x:c r="K25" s="13" t="str">
        <x:f>IF(OR('节点与说明'!H18="不适用",4&gt;'时间线'!$C$9+1),"",IF(AND(4&gt;='节点与说明'!O18,4&lt;='节点与说明'!P18),2,IF(AND(4&gt;='节点与说明'!O18-'节点与说明'!G18,4&lt;'节点与说明'!O18),1,"")))</x:f>
      </x:c>
      <x:c r="L25" s="13" t="str">
        <x:f>IF(OR('节点与说明'!H18="不适用",5&gt;'时间线'!$C$9+1),"",IF(AND(5&gt;='节点与说明'!O18,5&lt;='节点与说明'!P18),2,IF(AND(5&gt;='节点与说明'!O18-'节点与说明'!G18,5&lt;'节点与说明'!O18),1,"")))</x:f>
      </x:c>
      <x:c r="M25" s="13" t="str">
        <x:f>IF(OR('节点与说明'!H18="不适用",6&gt;'时间线'!$C$9+1),"",IF(AND(6&gt;='节点与说明'!O18,6&lt;='节点与说明'!P18),2,IF(AND(6&gt;='节点与说明'!O18-'节点与说明'!G18,6&lt;'节点与说明'!O18),1,"")))</x:f>
      </x:c>
      <x:c r="N25" s="13" t="str">
        <x:f>IF(OR('节点与说明'!H18="不适用",7&gt;'时间线'!$C$9+1),"",IF(AND(7&gt;='节点与说明'!O18,7&lt;='节点与说明'!P18),2,IF(AND(7&gt;='节点与说明'!O18-'节点与说明'!G18,7&lt;'节点与说明'!O18),1,"")))</x:f>
      </x:c>
      <x:c r="O25" s="13" t="str">
        <x:f>IF(OR('节点与说明'!H18="不适用",8&gt;'时间线'!$C$9+1),"",IF(AND(8&gt;='节点与说明'!O18,8&lt;='节点与说明'!P18),2,IF(AND(8&gt;='节点与说明'!O18-'节点与说明'!G18,8&lt;'节点与说明'!O18),1,"")))</x:f>
      </x:c>
      <x:c r="P25" s="13" t="str">
        <x:f>IF(OR('节点与说明'!H18="不适用",9&gt;'时间线'!$C$9+1),"",IF(AND(9&gt;='节点与说明'!O18,9&lt;='节点与说明'!P18),2,IF(AND(9&gt;='节点与说明'!O18-'节点与说明'!G18,9&lt;'节点与说明'!O18),1,"")))</x:f>
      </x:c>
      <x:c r="Q25" s="13" t="str">
        <x:f>IF(OR('节点与说明'!H18="不适用",10&gt;'时间线'!$C$9+1),"",IF(AND(10&gt;='节点与说明'!O18,10&lt;='节点与说明'!P18),2,IF(AND(10&gt;='节点与说明'!O18-'节点与说明'!G18,10&lt;'节点与说明'!O18),1,"")))</x:f>
      </x:c>
      <x:c r="R25" s="13" t="str">
        <x:f>IF(OR('节点与说明'!H18="不适用",11&gt;'时间线'!$C$9+1),"",IF(AND(11&gt;='节点与说明'!O18,11&lt;='节点与说明'!P18),2,IF(AND(11&gt;='节点与说明'!O18-'节点与说明'!G18,11&lt;'节点与说明'!O18),1,"")))</x:f>
      </x:c>
      <x:c r="S25" s="13" t="str">
        <x:f>IF(OR('节点与说明'!H18="不适用",12&gt;'时间线'!$C$9+1),"",IF(AND(12&gt;='节点与说明'!O18,12&lt;='节点与说明'!P18),2,IF(AND(12&gt;='节点与说明'!O18-'节点与说明'!G18,12&lt;'节点与说明'!O18),1,"")))</x:f>
      </x:c>
      <x:c r="T25" s="13" t="str">
        <x:f>IF(OR('节点与说明'!H18="不适用",13&gt;'时间线'!$C$9+1),"",IF(AND(13&gt;='节点与说明'!O18,13&lt;='节点与说明'!P18),2,IF(AND(13&gt;='节点与说明'!O18-'节点与说明'!G18,13&lt;'节点与说明'!O18),1,"")))</x:f>
      </x:c>
      <x:c r="U25" s="13" t="str">
        <x:f>IF(OR('节点与说明'!H18="不适用",14&gt;'时间线'!$C$9+1),"",IF(AND(14&gt;='节点与说明'!O18,14&lt;='节点与说明'!P18),2,IF(AND(14&gt;='节点与说明'!O18-'节点与说明'!G18,14&lt;'节点与说明'!O18),1,"")))</x:f>
      </x:c>
      <x:c r="V25" s="13" t="str">
        <x:f>IF(OR('节点与说明'!H18="不适用",15&gt;'时间线'!$C$9+1),"",IF(AND(15&gt;='节点与说明'!O18,15&lt;='节点与说明'!P18),2,IF(AND(15&gt;='节点与说明'!O18-'节点与说明'!G18,15&lt;'节点与说明'!O18),1,"")))</x:f>
      </x:c>
      <x:c r="W25" s="13" t="str">
        <x:f>IF(OR('节点与说明'!H18="不适用",16&gt;'时间线'!$C$9+1),"",IF(AND(16&gt;='节点与说明'!O18,16&lt;='节点与说明'!P18),2,IF(AND(16&gt;='节点与说明'!O18-'节点与说明'!G18,16&lt;'节点与说明'!O18),1,"")))</x:f>
      </x:c>
      <x:c r="X25" s="13" t="str">
        <x:f>IF(OR('节点与说明'!H18="不适用",17&gt;'时间线'!$C$9+1),"",IF(AND(17&gt;='节点与说明'!O18,17&lt;='节点与说明'!P18),2,IF(AND(17&gt;='节点与说明'!O18-'节点与说明'!G18,17&lt;'节点与说明'!O18),1,"")))</x:f>
      </x:c>
      <x:c r="Y25" s="13" t="str">
        <x:f>IF(OR('节点与说明'!H18="不适用",18&gt;'时间线'!$C$9+1),"",IF(AND(18&gt;='节点与说明'!O18,18&lt;='节点与说明'!P18),2,IF(AND(18&gt;='节点与说明'!O18-'节点与说明'!G18,18&lt;'节点与说明'!O18),1,"")))</x:f>
      </x:c>
      <x:c r="Z25" s="13" t="str">
        <x:f>IF(OR('节点与说明'!H18="不适用",19&gt;'时间线'!$C$9+1),"",IF(AND(19&gt;='节点与说明'!O18,19&lt;='节点与说明'!P18),2,IF(AND(19&gt;='节点与说明'!O18-'节点与说明'!G18,19&lt;'节点与说明'!O18),1,"")))</x:f>
      </x:c>
      <x:c r="AA25" s="13" t="str">
        <x:f>IF(OR('节点与说明'!H18="不适用",20&gt;'时间线'!$C$9+1),"",IF(AND(20&gt;='节点与说明'!O18,20&lt;='节点与说明'!P18),2,IF(AND(20&gt;='节点与说明'!O18-'节点与说明'!G18,20&lt;'节点与说明'!O18),1,"")))</x:f>
      </x:c>
      <x:c r="AB25" s="13" t="n">
        <x:f>IF(OR('节点与说明'!H18="不适用",21&gt;'时间线'!$C$9+1),"",IF(AND(21&gt;='节点与说明'!O18,21&lt;='节点与说明'!P18),2,IF(AND(21&gt;='节点与说明'!O18-'节点与说明'!G18,21&lt;'节点与说明'!O18),1,"")))</x:f>
        <x:v>2</x:v>
      </x:c>
      <x:c r="AC25" s="13" t="n">
        <x:f>IF(OR('节点与说明'!H18="不适用",22&gt;'时间线'!$C$9+1),"",IF(AND(22&gt;='节点与说明'!O18,22&lt;='节点与说明'!P18),2,IF(AND(22&gt;='节点与说明'!O18-'节点与说明'!G18,22&lt;'节点与说明'!O18),1,"")))</x:f>
        <x:v>2</x:v>
      </x:c>
      <x:c r="AD25" s="13" t="n">
        <x:f>IF(OR('节点与说明'!H18="不适用",23&gt;'时间线'!$C$9+1),"",IF(AND(23&gt;='节点与说明'!O18,23&lt;='节点与说明'!P18),2,IF(AND(23&gt;='节点与说明'!O18-'节点与说明'!G18,23&lt;'节点与说明'!O18),1,"")))</x:f>
        <x:v>2</x:v>
      </x:c>
      <x:c r="AE25" s="13" t="str">
        <x:f>IF(OR('节点与说明'!H18="不适用",24&gt;'时间线'!$C$9+1),"",IF(AND(24&gt;='节点与说明'!O18,24&lt;='节点与说明'!P18),2,IF(AND(24&gt;='节点与说明'!O18-'节点与说明'!G18,24&lt;'节点与说明'!O18),1,"")))</x:f>
      </x:c>
      <x:c r="AF25" s="13" t="str">
        <x:f>IF(OR('节点与说明'!H18="不适用",25&gt;'时间线'!$C$9+1),"",IF(AND(25&gt;='节点与说明'!O18,25&lt;='节点与说明'!P18),2,IF(AND(25&gt;='节点与说明'!O18-'节点与说明'!G18,25&lt;'节点与说明'!O18),1,"")))</x:f>
      </x:c>
      <x:c r="AG25" s="13" t="str">
        <x:f>IF(OR('节点与说明'!H18="不适用",26&gt;'时间线'!$C$9+1),"",IF(AND(26&gt;='节点与说明'!O18,26&lt;='节点与说明'!P18),2,IF(AND(26&gt;='节点与说明'!O18-'节点与说明'!G18,26&lt;'节点与说明'!O18),1,"")))</x:f>
      </x:c>
      <x:c r="AH25" s="13" t="str">
        <x:f>IF(OR('节点与说明'!H18="不适用",27&gt;'时间线'!$C$9+1),"",IF(AND(27&gt;='节点与说明'!O18,27&lt;='节点与说明'!P18),2,IF(AND(27&gt;='节点与说明'!O18-'节点与说明'!G18,27&lt;'节点与说明'!O18),1,"")))</x:f>
      </x:c>
      <x:c r="AI25" s="13" t="str">
        <x:f>IF(OR('节点与说明'!H18="不适用",28&gt;'时间线'!$C$9+1),"",IF(AND(28&gt;='节点与说明'!O18,28&lt;='节点与说明'!P18),2,IF(AND(28&gt;='节点与说明'!O18-'节点与说明'!G18,28&lt;'节点与说明'!O18),1,"")))</x:f>
      </x:c>
      <x:c r="AJ25" s="13" t="str">
        <x:f>IF(OR('节点与说明'!H18="不适用",29&gt;'时间线'!$C$9+1),"",IF(AND(29&gt;='节点与说明'!O18,29&lt;='节点与说明'!P18),2,IF(AND(29&gt;='节点与说明'!O18-'节点与说明'!G18,29&lt;'节点与说明'!O18),1,"")))</x:f>
      </x:c>
      <x:c r="AK25" s="13" t="str">
        <x:f>IF(OR('节点与说明'!H18="不适用",30&gt;'时间线'!$C$9+1),"",IF(AND(30&gt;='节点与说明'!O18,30&lt;='节点与说明'!P18),2,IF(AND(30&gt;='节点与说明'!O18-'节点与说明'!G18,30&lt;'节点与说明'!O18),1,"")))</x:f>
      </x:c>
      <x:c r="AL25" s="13" t="str">
        <x:f>IF(OR('节点与说明'!H18="不适用",31&gt;'时间线'!$C$9+1),"",IF(AND(31&gt;='节点与说明'!O18,31&lt;='节点与说明'!P18),2,IF(AND(31&gt;='节点与说明'!O18-'节点与说明'!G18,31&lt;'节点与说明'!O18),1,"")))</x:f>
      </x:c>
      <x:c r="AM25" s="13" t="str">
        <x:f>IF(OR('节点与说明'!H18="不适用",32&gt;'时间线'!$C$9+1),"",IF(AND(32&gt;='节点与说明'!O18,32&lt;='节点与说明'!P18),2,IF(AND(32&gt;='节点与说明'!O18-'节点与说明'!G18,32&lt;'节点与说明'!O18),1,"")))</x:f>
      </x:c>
      <x:c r="AN25" s="13" t="str">
        <x:f>IF(OR('节点与说明'!H18="不适用",33&gt;'时间线'!$C$9+1),"",IF(AND(33&gt;='节点与说明'!O18,33&lt;='节点与说明'!P18),2,IF(AND(33&gt;='节点与说明'!O18-'节点与说明'!G18,33&lt;'节点与说明'!O18),1,"")))</x:f>
      </x:c>
      <x:c r="AO25" s="13" t="str">
        <x:f>IF(OR('节点与说明'!H18="不适用",34&gt;'时间线'!$C$9+1),"",IF(AND(34&gt;='节点与说明'!O18,34&lt;='节点与说明'!P18),2,IF(AND(34&gt;='节点与说明'!O18-'节点与说明'!G18,34&lt;'节点与说明'!O18),1,"")))</x:f>
      </x:c>
      <x:c r="AP25" s="13" t="str">
        <x:f>IF(OR('节点与说明'!H18="不适用",35&gt;'时间线'!$C$9+1),"",IF(AND(35&gt;='节点与说明'!O18,35&lt;='节点与说明'!P18),2,IF(AND(35&gt;='节点与说明'!O18-'节点与说明'!G18,35&lt;'节点与说明'!O18),1,"")))</x:f>
      </x:c>
      <x:c r="AQ25" s="2"/>
      <x:c r="AR25" s="11" t="str">
        <x:f>'节点与说明'!N18</x:f>
        <x:v>向学院确认成果认可口径和取得时间，较长周期事项尽早处理。</x:v>
      </x:c>
    </x:row>
    <x:row r="26" ht="38" customHeight="1">
      <x:c r="A26" s="2" t="str">
        <x:f>'节点与说明'!A19</x:f>
        <x:v>A09</x:v>
      </x:c>
      <x:c r="B26" s="15" t="str">
        <x:f>'节点与说明'!B19</x:f>
        <x:v>培养</x:v>
      </x:c>
      <x:c r="C26" s="11" t="str">
        <x:f>'节点与说明'!C19</x:f>
        <x:v>研究收尾与论文完整初稿</x:v>
      </x:c>
      <x:c r="D26" s="2" t="str">
        <x:f>'节点与说明'!H19</x:f>
        <x:v>待确认</x:v>
      </x:c>
      <x:c r="E26" s="2" t="n">
        <x:f>'节点与说明'!G19</x:f>
        <x:v>2</x:v>
      </x:c>
      <x:c r="F26" s="2" t="str">
        <x:f>'节点与说明'!S19</x:f>
        <x:v>研2·8月</x:v>
      </x:c>
      <x:c r="G26" s="13" t="str">
        <x:f>IF(OR('节点与说明'!H19="不适用",0&gt;'时间线'!$C$9+1),"",IF(AND(0&gt;='节点与说明'!O19,0&lt;='节点与说明'!P19),2,IF(AND(0&gt;='节点与说明'!O19-'节点与说明'!G19,0&lt;'节点与说明'!O19),1,"")))</x:f>
      </x:c>
      <x:c r="H26" s="13" t="str">
        <x:f>IF(OR('节点与说明'!H19="不适用",1&gt;'时间线'!$C$9+1),"",IF(AND(1&gt;='节点与说明'!O19,1&lt;='节点与说明'!P19),2,IF(AND(1&gt;='节点与说明'!O19-'节点与说明'!G19,1&lt;'节点与说明'!O19),1,"")))</x:f>
      </x:c>
      <x:c r="I26" s="13" t="str">
        <x:f>IF(OR('节点与说明'!H19="不适用",2&gt;'时间线'!$C$9+1),"",IF(AND(2&gt;='节点与说明'!O19,2&lt;='节点与说明'!P19),2,IF(AND(2&gt;='节点与说明'!O19-'节点与说明'!G19,2&lt;'节点与说明'!O19),1,"")))</x:f>
      </x:c>
      <x:c r="J26" s="13" t="str">
        <x:f>IF(OR('节点与说明'!H19="不适用",3&gt;'时间线'!$C$9+1),"",IF(AND(3&gt;='节点与说明'!O19,3&lt;='节点与说明'!P19),2,IF(AND(3&gt;='节点与说明'!O19-'节点与说明'!G19,3&lt;'节点与说明'!O19),1,"")))</x:f>
      </x:c>
      <x:c r="K26" s="13" t="str">
        <x:f>IF(OR('节点与说明'!H19="不适用",4&gt;'时间线'!$C$9+1),"",IF(AND(4&gt;='节点与说明'!O19,4&lt;='节点与说明'!P19),2,IF(AND(4&gt;='节点与说明'!O19-'节点与说明'!G19,4&lt;'节点与说明'!O19),1,"")))</x:f>
      </x:c>
      <x:c r="L26" s="13" t="str">
        <x:f>IF(OR('节点与说明'!H19="不适用",5&gt;'时间线'!$C$9+1),"",IF(AND(5&gt;='节点与说明'!O19,5&lt;='节点与说明'!P19),2,IF(AND(5&gt;='节点与说明'!O19-'节点与说明'!G19,5&lt;'节点与说明'!O19),1,"")))</x:f>
      </x:c>
      <x:c r="M26" s="13" t="str">
        <x:f>IF(OR('节点与说明'!H19="不适用",6&gt;'时间线'!$C$9+1),"",IF(AND(6&gt;='节点与说明'!O19,6&lt;='节点与说明'!P19),2,IF(AND(6&gt;='节点与说明'!O19-'节点与说明'!G19,6&lt;'节点与说明'!O19),1,"")))</x:f>
      </x:c>
      <x:c r="N26" s="13" t="str">
        <x:f>IF(OR('节点与说明'!H19="不适用",7&gt;'时间线'!$C$9+1),"",IF(AND(7&gt;='节点与说明'!O19,7&lt;='节点与说明'!P19),2,IF(AND(7&gt;='节点与说明'!O19-'节点与说明'!G19,7&lt;'节点与说明'!O19),1,"")))</x:f>
      </x:c>
      <x:c r="O26" s="13" t="str">
        <x:f>IF(OR('节点与说明'!H19="不适用",8&gt;'时间线'!$C$9+1),"",IF(AND(8&gt;='节点与说明'!O19,8&lt;='节点与说明'!P19),2,IF(AND(8&gt;='节点与说明'!O19-'节点与说明'!G19,8&lt;'节点与说明'!O19),1,"")))</x:f>
      </x:c>
      <x:c r="P26" s="13" t="str">
        <x:f>IF(OR('节点与说明'!H19="不适用",9&gt;'时间线'!$C$9+1),"",IF(AND(9&gt;='节点与说明'!O19,9&lt;='节点与说明'!P19),2,IF(AND(9&gt;='节点与说明'!O19-'节点与说明'!G19,9&lt;'节点与说明'!O19),1,"")))</x:f>
      </x:c>
      <x:c r="Q26" s="13" t="str">
        <x:f>IF(OR('节点与说明'!H19="不适用",10&gt;'时间线'!$C$9+1),"",IF(AND(10&gt;='节点与说明'!O19,10&lt;='节点与说明'!P19),2,IF(AND(10&gt;='节点与说明'!O19-'节点与说明'!G19,10&lt;'节点与说明'!O19),1,"")))</x:f>
      </x:c>
      <x:c r="R26" s="13" t="str">
        <x:f>IF(OR('节点与说明'!H19="不适用",11&gt;'时间线'!$C$9+1),"",IF(AND(11&gt;='节点与说明'!O19,11&lt;='节点与说明'!P19),2,IF(AND(11&gt;='节点与说明'!O19-'节点与说明'!G19,11&lt;'节点与说明'!O19),1,"")))</x:f>
      </x:c>
      <x:c r="S26" s="13" t="str">
        <x:f>IF(OR('节点与说明'!H19="不适用",12&gt;'时间线'!$C$9+1),"",IF(AND(12&gt;='节点与说明'!O19,12&lt;='节点与说明'!P19),2,IF(AND(12&gt;='节点与说明'!O19-'节点与说明'!G19,12&lt;'节点与说明'!O19),1,"")))</x:f>
      </x:c>
      <x:c r="T26" s="13" t="str">
        <x:f>IF(OR('节点与说明'!H19="不适用",13&gt;'时间线'!$C$9+1),"",IF(AND(13&gt;='节点与说明'!O19,13&lt;='节点与说明'!P19),2,IF(AND(13&gt;='节点与说明'!O19-'节点与说明'!G19,13&lt;'节点与说明'!O19),1,"")))</x:f>
      </x:c>
      <x:c r="U26" s="13" t="str">
        <x:f>IF(OR('节点与说明'!H19="不适用",14&gt;'时间线'!$C$9+1),"",IF(AND(14&gt;='节点与说明'!O19,14&lt;='节点与说明'!P19),2,IF(AND(14&gt;='节点与说明'!O19-'节点与说明'!G19,14&lt;'节点与说明'!O19),1,"")))</x:f>
      </x:c>
      <x:c r="V26" s="13" t="str">
        <x:f>IF(OR('节点与说明'!H19="不适用",15&gt;'时间线'!$C$9+1),"",IF(AND(15&gt;='节点与说明'!O19,15&lt;='节点与说明'!P19),2,IF(AND(15&gt;='节点与说明'!O19-'节点与说明'!G19,15&lt;'节点与说明'!O19),1,"")))</x:f>
      </x:c>
      <x:c r="W26" s="13" t="str">
        <x:f>IF(OR('节点与说明'!H19="不适用",16&gt;'时间线'!$C$9+1),"",IF(AND(16&gt;='节点与说明'!O19,16&lt;='节点与说明'!P19),2,IF(AND(16&gt;='节点与说明'!O19-'节点与说明'!G19,16&lt;'节点与说明'!O19),1,"")))</x:f>
      </x:c>
      <x:c r="X26" s="13" t="str">
        <x:f>IF(OR('节点与说明'!H19="不适用",17&gt;'时间线'!$C$9+1),"",IF(AND(17&gt;='节点与说明'!O19,17&lt;='节点与说明'!P19),2,IF(AND(17&gt;='节点与说明'!O19-'节点与说明'!G19,17&lt;'节点与说明'!O19),1,"")))</x:f>
      </x:c>
      <x:c r="Y26" s="13" t="str">
        <x:f>IF(OR('节点与说明'!H19="不适用",18&gt;'时间线'!$C$9+1),"",IF(AND(18&gt;='节点与说明'!O19,18&lt;='节点与说明'!P19),2,IF(AND(18&gt;='节点与说明'!O19-'节点与说明'!G19,18&lt;'节点与说明'!O19),1,"")))</x:f>
      </x:c>
      <x:c r="Z26" s="13" t="str">
        <x:f>IF(OR('节点与说明'!H19="不适用",19&gt;'时间线'!$C$9+1),"",IF(AND(19&gt;='节点与说明'!O19,19&lt;='节点与说明'!P19),2,IF(AND(19&gt;='节点与说明'!O19-'节点与说明'!G19,19&lt;'节点与说明'!O19),1,"")))</x:f>
      </x:c>
      <x:c r="AA26" s="13" t="str">
        <x:f>IF(OR('节点与说明'!H19="不适用",20&gt;'时间线'!$C$9+1),"",IF(AND(20&gt;='节点与说明'!O19,20&lt;='节点与说明'!P19),2,IF(AND(20&gt;='节点与说明'!O19-'节点与说明'!G19,20&lt;'节点与说明'!O19),1,"")))</x:f>
      </x:c>
      <x:c r="AB26" s="13" t="str">
        <x:f>IF(OR('节点与说明'!H19="不适用",21&gt;'时间线'!$C$9+1),"",IF(AND(21&gt;='节点与说明'!O19,21&lt;='节点与说明'!P19),2,IF(AND(21&gt;='节点与说明'!O19-'节点与说明'!G19,21&lt;'节点与说明'!O19),1,"")))</x:f>
      </x:c>
      <x:c r="AC26" s="13" t="str">
        <x:f>IF(OR('节点与说明'!H19="不适用",22&gt;'时间线'!$C$9+1),"",IF(AND(22&gt;='节点与说明'!O19,22&lt;='节点与说明'!P19),2,IF(AND(22&gt;='节点与说明'!O19-'节点与说明'!G19,22&lt;'节点与说明'!O19),1,"")))</x:f>
      </x:c>
      <x:c r="AD26" s="13" t="n">
        <x:f>IF(OR('节点与说明'!H19="不适用",23&gt;'时间线'!$C$9+1),"",IF(AND(23&gt;='节点与说明'!O19,23&lt;='节点与说明'!P19),2,IF(AND(23&gt;='节点与说明'!O19-'节点与说明'!G19,23&lt;'节点与说明'!O19),1,"")))</x:f>
        <x:v>1</x:v>
      </x:c>
      <x:c r="AE26" s="13" t="n">
        <x:f>IF(OR('节点与说明'!H19="不适用",24&gt;'时间线'!$C$9+1),"",IF(AND(24&gt;='节点与说明'!O19,24&lt;='节点与说明'!P19),2,IF(AND(24&gt;='节点与说明'!O19-'节点与说明'!G19,24&lt;'节点与说明'!O19),1,"")))</x:f>
        <x:v>1</x:v>
      </x:c>
      <x:c r="AF26" s="13" t="n">
        <x:f>IF(OR('节点与说明'!H19="不适用",25&gt;'时间线'!$C$9+1),"",IF(AND(25&gt;='节点与说明'!O19,25&lt;='节点与说明'!P19),2,IF(AND(25&gt;='节点与说明'!O19-'节点与说明'!G19,25&lt;'节点与说明'!O19),1,"")))</x:f>
        <x:v>2</x:v>
      </x:c>
      <x:c r="AG26" s="13" t="n">
        <x:f>IF(OR('节点与说明'!H19="不适用",26&gt;'时间线'!$C$9+1),"",IF(AND(26&gt;='节点与说明'!O19,26&lt;='节点与说明'!P19),2,IF(AND(26&gt;='节点与说明'!O19-'节点与说明'!G19,26&lt;'节点与说明'!O19),1,"")))</x:f>
        <x:v>2</x:v>
      </x:c>
      <x:c r="AH26" s="13" t="n">
        <x:f>IF(OR('节点与说明'!H19="不适用",27&gt;'时间线'!$C$9+1),"",IF(AND(27&gt;='节点与说明'!O19,27&lt;='节点与说明'!P19),2,IF(AND(27&gt;='节点与说明'!O19-'节点与说明'!G19,27&lt;'节点与说明'!O19),1,"")))</x:f>
        <x:v>2</x:v>
      </x:c>
      <x:c r="AI26" s="13" t="n">
        <x:f>IF(OR('节点与说明'!H19="不适用",28&gt;'时间线'!$C$9+1),"",IF(AND(28&gt;='节点与说明'!O19,28&lt;='节点与说明'!P19),2,IF(AND(28&gt;='节点与说明'!O19-'节点与说明'!G19,28&lt;'节点与说明'!O19),1,"")))</x:f>
        <x:v>2</x:v>
      </x:c>
      <x:c r="AJ26" s="13" t="str">
        <x:f>IF(OR('节点与说明'!H19="不适用",29&gt;'时间线'!$C$9+1),"",IF(AND(29&gt;='节点与说明'!O19,29&lt;='节点与说明'!P19),2,IF(AND(29&gt;='节点与说明'!O19-'节点与说明'!G19,29&lt;'节点与说明'!O19),1,"")))</x:f>
      </x:c>
      <x:c r="AK26" s="13" t="str">
        <x:f>IF(OR('节点与说明'!H19="不适用",30&gt;'时间线'!$C$9+1),"",IF(AND(30&gt;='节点与说明'!O19,30&lt;='节点与说明'!P19),2,IF(AND(30&gt;='节点与说明'!O19-'节点与说明'!G19,30&lt;'节点与说明'!O19),1,"")))</x:f>
      </x:c>
      <x:c r="AL26" s="13" t="str">
        <x:f>IF(OR('节点与说明'!H19="不适用",31&gt;'时间线'!$C$9+1),"",IF(AND(31&gt;='节点与说明'!O19,31&lt;='节点与说明'!P19),2,IF(AND(31&gt;='节点与说明'!O19-'节点与说明'!G19,31&lt;'节点与说明'!O19),1,"")))</x:f>
      </x:c>
      <x:c r="AM26" s="13" t="str">
        <x:f>IF(OR('节点与说明'!H19="不适用",32&gt;'时间线'!$C$9+1),"",IF(AND(32&gt;='节点与说明'!O19,32&lt;='节点与说明'!P19),2,IF(AND(32&gt;='节点与说明'!O19-'节点与说明'!G19,32&lt;'节点与说明'!O19),1,"")))</x:f>
      </x:c>
      <x:c r="AN26" s="13" t="str">
        <x:f>IF(OR('节点与说明'!H19="不适用",33&gt;'时间线'!$C$9+1),"",IF(AND(33&gt;='节点与说明'!O19,33&lt;='节点与说明'!P19),2,IF(AND(33&gt;='节点与说明'!O19-'节点与说明'!G19,33&lt;'节点与说明'!O19),1,"")))</x:f>
      </x:c>
      <x:c r="AO26" s="13" t="str">
        <x:f>IF(OR('节点与说明'!H19="不适用",34&gt;'时间线'!$C$9+1),"",IF(AND(34&gt;='节点与说明'!O19,34&lt;='节点与说明'!P19),2,IF(AND(34&gt;='节点与说明'!O19-'节点与说明'!G19,34&lt;'节点与说明'!O19),1,"")))</x:f>
      </x:c>
      <x:c r="AP26" s="13" t="str">
        <x:f>IF(OR('节点与说明'!H19="不适用",35&gt;'时间线'!$C$9+1),"",IF(AND(35&gt;='节点与说明'!O19,35&lt;='节点与说明'!P19),2,IF(AND(35&gt;='节点与说明'!O19-'节点与说明'!G19,35&lt;'节点与说明'!O19),1,"")))</x:f>
      </x:c>
      <x:c r="AQ26" s="2"/>
      <x:c r="AR26" s="11" t="str">
        <x:f>'节点与说明'!N19</x:f>
        <x:v>毕业前10个月起建立逐章目录；重要实验别拖到最后学期。</x:v>
      </x:c>
    </x:row>
    <x:row r="27" ht="38" customHeight="1">
      <x:c r="A27" s="2" t="str">
        <x:f>'节点与说明'!A20</x:f>
        <x:v>A10</x:v>
      </x:c>
      <x:c r="B27" s="15" t="str">
        <x:f>'节点与说明'!B20</x:f>
        <x:v>培养</x:v>
      </x:c>
      <x:c r="C27" s="11" t="str">
        <x:f>'节点与说明'!C20</x:f>
        <x:v>完成论文并提交导师审阅</x:v>
      </x:c>
      <x:c r="D27" s="2" t="str">
        <x:f>'节点与说明'!H20</x:f>
        <x:v>待确认</x:v>
      </x:c>
      <x:c r="E27" s="2" t="n">
        <x:f>'节点与说明'!G20</x:f>
        <x:v>1</x:v>
      </x:c>
      <x:c r="F27" s="2" t="str">
        <x:f>'节点与说明'!S20</x:f>
        <x:v>研3·1月</x:v>
      </x:c>
      <x:c r="G27" s="13" t="str">
        <x:f>IF(OR('节点与说明'!H20="不适用",0&gt;'时间线'!$C$9+1),"",IF(AND(0&gt;='节点与说明'!O20,0&lt;='节点与说明'!P20),2,IF(AND(0&gt;='节点与说明'!O20-'节点与说明'!G20,0&lt;'节点与说明'!O20),1,"")))</x:f>
      </x:c>
      <x:c r="H27" s="13" t="str">
        <x:f>IF(OR('节点与说明'!H20="不适用",1&gt;'时间线'!$C$9+1),"",IF(AND(1&gt;='节点与说明'!O20,1&lt;='节点与说明'!P20),2,IF(AND(1&gt;='节点与说明'!O20-'节点与说明'!G20,1&lt;'节点与说明'!O20),1,"")))</x:f>
      </x:c>
      <x:c r="I27" s="13" t="str">
        <x:f>IF(OR('节点与说明'!H20="不适用",2&gt;'时间线'!$C$9+1),"",IF(AND(2&gt;='节点与说明'!O20,2&lt;='节点与说明'!P20),2,IF(AND(2&gt;='节点与说明'!O20-'节点与说明'!G20,2&lt;'节点与说明'!O20),1,"")))</x:f>
      </x:c>
      <x:c r="J27" s="13" t="str">
        <x:f>IF(OR('节点与说明'!H20="不适用",3&gt;'时间线'!$C$9+1),"",IF(AND(3&gt;='节点与说明'!O20,3&lt;='节点与说明'!P20),2,IF(AND(3&gt;='节点与说明'!O20-'节点与说明'!G20,3&lt;'节点与说明'!O20),1,"")))</x:f>
      </x:c>
      <x:c r="K27" s="13" t="str">
        <x:f>IF(OR('节点与说明'!H20="不适用",4&gt;'时间线'!$C$9+1),"",IF(AND(4&gt;='节点与说明'!O20,4&lt;='节点与说明'!P20),2,IF(AND(4&gt;='节点与说明'!O20-'节点与说明'!G20,4&lt;'节点与说明'!O20),1,"")))</x:f>
      </x:c>
      <x:c r="L27" s="13" t="str">
        <x:f>IF(OR('节点与说明'!H20="不适用",5&gt;'时间线'!$C$9+1),"",IF(AND(5&gt;='节点与说明'!O20,5&lt;='节点与说明'!P20),2,IF(AND(5&gt;='节点与说明'!O20-'节点与说明'!G20,5&lt;'节点与说明'!O20),1,"")))</x:f>
      </x:c>
      <x:c r="M27" s="13" t="str">
        <x:f>IF(OR('节点与说明'!H20="不适用",6&gt;'时间线'!$C$9+1),"",IF(AND(6&gt;='节点与说明'!O20,6&lt;='节点与说明'!P20),2,IF(AND(6&gt;='节点与说明'!O20-'节点与说明'!G20,6&lt;'节点与说明'!O20),1,"")))</x:f>
      </x:c>
      <x:c r="N27" s="13" t="str">
        <x:f>IF(OR('节点与说明'!H20="不适用",7&gt;'时间线'!$C$9+1),"",IF(AND(7&gt;='节点与说明'!O20,7&lt;='节点与说明'!P20),2,IF(AND(7&gt;='节点与说明'!O20-'节点与说明'!G20,7&lt;'节点与说明'!O20),1,"")))</x:f>
      </x:c>
      <x:c r="O27" s="13" t="str">
        <x:f>IF(OR('节点与说明'!H20="不适用",8&gt;'时间线'!$C$9+1),"",IF(AND(8&gt;='节点与说明'!O20,8&lt;='节点与说明'!P20),2,IF(AND(8&gt;='节点与说明'!O20-'节点与说明'!G20,8&lt;'节点与说明'!O20),1,"")))</x:f>
      </x:c>
      <x:c r="P27" s="13" t="str">
        <x:f>IF(OR('节点与说明'!H20="不适用",9&gt;'时间线'!$C$9+1),"",IF(AND(9&gt;='节点与说明'!O20,9&lt;='节点与说明'!P20),2,IF(AND(9&gt;='节点与说明'!O20-'节点与说明'!G20,9&lt;'节点与说明'!O20),1,"")))</x:f>
      </x:c>
      <x:c r="Q27" s="13" t="str">
        <x:f>IF(OR('节点与说明'!H20="不适用",10&gt;'时间线'!$C$9+1),"",IF(AND(10&gt;='节点与说明'!O20,10&lt;='节点与说明'!P20),2,IF(AND(10&gt;='节点与说明'!O20-'节点与说明'!G20,10&lt;'节点与说明'!O20),1,"")))</x:f>
      </x:c>
      <x:c r="R27" s="13" t="str">
        <x:f>IF(OR('节点与说明'!H20="不适用",11&gt;'时间线'!$C$9+1),"",IF(AND(11&gt;='节点与说明'!O20,11&lt;='节点与说明'!P20),2,IF(AND(11&gt;='节点与说明'!O20-'节点与说明'!G20,11&lt;'节点与说明'!O20),1,"")))</x:f>
      </x:c>
      <x:c r="S27" s="13" t="str">
        <x:f>IF(OR('节点与说明'!H20="不适用",12&gt;'时间线'!$C$9+1),"",IF(AND(12&gt;='节点与说明'!O20,12&lt;='节点与说明'!P20),2,IF(AND(12&gt;='节点与说明'!O20-'节点与说明'!G20,12&lt;'节点与说明'!O20),1,"")))</x:f>
      </x:c>
      <x:c r="T27" s="13" t="str">
        <x:f>IF(OR('节点与说明'!H20="不适用",13&gt;'时间线'!$C$9+1),"",IF(AND(13&gt;='节点与说明'!O20,13&lt;='节点与说明'!P20),2,IF(AND(13&gt;='节点与说明'!O20-'节点与说明'!G20,13&lt;'节点与说明'!O20),1,"")))</x:f>
      </x:c>
      <x:c r="U27" s="13" t="str">
        <x:f>IF(OR('节点与说明'!H20="不适用",14&gt;'时间线'!$C$9+1),"",IF(AND(14&gt;='节点与说明'!O20,14&lt;='节点与说明'!P20),2,IF(AND(14&gt;='节点与说明'!O20-'节点与说明'!G20,14&lt;'节点与说明'!O20),1,"")))</x:f>
      </x:c>
      <x:c r="V27" s="13" t="str">
        <x:f>IF(OR('节点与说明'!H20="不适用",15&gt;'时间线'!$C$9+1),"",IF(AND(15&gt;='节点与说明'!O20,15&lt;='节点与说明'!P20),2,IF(AND(15&gt;='节点与说明'!O20-'节点与说明'!G20,15&lt;'节点与说明'!O20),1,"")))</x:f>
      </x:c>
      <x:c r="W27" s="13" t="str">
        <x:f>IF(OR('节点与说明'!H20="不适用",16&gt;'时间线'!$C$9+1),"",IF(AND(16&gt;='节点与说明'!O20,16&lt;='节点与说明'!P20),2,IF(AND(16&gt;='节点与说明'!O20-'节点与说明'!G20,16&lt;'节点与说明'!O20),1,"")))</x:f>
      </x:c>
      <x:c r="X27" s="13" t="str">
        <x:f>IF(OR('节点与说明'!H20="不适用",17&gt;'时间线'!$C$9+1),"",IF(AND(17&gt;='节点与说明'!O20,17&lt;='节点与说明'!P20),2,IF(AND(17&gt;='节点与说明'!O20-'节点与说明'!G20,17&lt;'节点与说明'!O20),1,"")))</x:f>
      </x:c>
      <x:c r="Y27" s="13" t="str">
        <x:f>IF(OR('节点与说明'!H20="不适用",18&gt;'时间线'!$C$9+1),"",IF(AND(18&gt;='节点与说明'!O20,18&lt;='节点与说明'!P20),2,IF(AND(18&gt;='节点与说明'!O20-'节点与说明'!G20,18&lt;'节点与说明'!O20),1,"")))</x:f>
      </x:c>
      <x:c r="Z27" s="13" t="str">
        <x:f>IF(OR('节点与说明'!H20="不适用",19&gt;'时间线'!$C$9+1),"",IF(AND(19&gt;='节点与说明'!O20,19&lt;='节点与说明'!P20),2,IF(AND(19&gt;='节点与说明'!O20-'节点与说明'!G20,19&lt;'节点与说明'!O20),1,"")))</x:f>
      </x:c>
      <x:c r="AA27" s="13" t="str">
        <x:f>IF(OR('节点与说明'!H20="不适用",20&gt;'时间线'!$C$9+1),"",IF(AND(20&gt;='节点与说明'!O20,20&lt;='节点与说明'!P20),2,IF(AND(20&gt;='节点与说明'!O20-'节点与说明'!G20,20&lt;'节点与说明'!O20),1,"")))</x:f>
      </x:c>
      <x:c r="AB27" s="13" t="str">
        <x:f>IF(OR('节点与说明'!H20="不适用",21&gt;'时间线'!$C$9+1),"",IF(AND(21&gt;='节点与说明'!O20,21&lt;='节点与说明'!P20),2,IF(AND(21&gt;='节点与说明'!O20-'节点与说明'!G20,21&lt;'节点与说明'!O20),1,"")))</x:f>
      </x:c>
      <x:c r="AC27" s="13" t="str">
        <x:f>IF(OR('节点与说明'!H20="不适用",22&gt;'时间线'!$C$9+1),"",IF(AND(22&gt;='节点与说明'!O20,22&lt;='节点与说明'!P20),2,IF(AND(22&gt;='节点与说明'!O20-'节点与说明'!G20,22&lt;'节点与说明'!O20),1,"")))</x:f>
      </x:c>
      <x:c r="AD27" s="13" t="str">
        <x:f>IF(OR('节点与说明'!H20="不适用",23&gt;'时间线'!$C$9+1),"",IF(AND(23&gt;='节点与说明'!O20,23&lt;='节点与说明'!P20),2,IF(AND(23&gt;='节点与说明'!O20-'节点与说明'!G20,23&lt;'节点与说明'!O20),1,"")))</x:f>
      </x:c>
      <x:c r="AE27" s="13" t="str">
        <x:f>IF(OR('节点与说明'!H20="不适用",24&gt;'时间线'!$C$9+1),"",IF(AND(24&gt;='节点与说明'!O20,24&lt;='节点与说明'!P20),2,IF(AND(24&gt;='节点与说明'!O20-'节点与说明'!G20,24&lt;'节点与说明'!O20),1,"")))</x:f>
      </x:c>
      <x:c r="AF27" s="13" t="str">
        <x:f>IF(OR('节点与说明'!H20="不适用",25&gt;'时间线'!$C$9+1),"",IF(AND(25&gt;='节点与说明'!O20,25&lt;='节点与说明'!P20),2,IF(AND(25&gt;='节点与说明'!O20-'节点与说明'!G20,25&lt;'节点与说明'!O20),1,"")))</x:f>
      </x:c>
      <x:c r="AG27" s="13" t="str">
        <x:f>IF(OR('节点与说明'!H20="不适用",26&gt;'时间线'!$C$9+1),"",IF(AND(26&gt;='节点与说明'!O20,26&lt;='节点与说明'!P20),2,IF(AND(26&gt;='节点与说明'!O20-'节点与说明'!G20,26&lt;'节点与说明'!O20),1,"")))</x:f>
      </x:c>
      <x:c r="AH27" s="13" t="str">
        <x:f>IF(OR('节点与说明'!H20="不适用",27&gt;'时间线'!$C$9+1),"",IF(AND(27&gt;='节点与说明'!O20,27&lt;='节点与说明'!P20),2,IF(AND(27&gt;='节点与说明'!O20-'节点与说明'!G20,27&lt;'节点与说明'!O20),1,"")))</x:f>
      </x:c>
      <x:c r="AI27" s="13" t="n">
        <x:f>IF(OR('节点与说明'!H20="不适用",28&gt;'时间线'!$C$9+1),"",IF(AND(28&gt;='节点与说明'!O20,28&lt;='节点与说明'!P20),2,IF(AND(28&gt;='节点与说明'!O20-'节点与说明'!G20,28&lt;'节点与说明'!O20),1,"")))</x:f>
        <x:v>1</x:v>
      </x:c>
      <x:c r="AJ27" s="13" t="n">
        <x:f>IF(OR('节点与说明'!H20="不适用",29&gt;'时间线'!$C$9+1),"",IF(AND(29&gt;='节点与说明'!O20,29&lt;='节点与说明'!P20),2,IF(AND(29&gt;='节点与说明'!O20-'节点与说明'!G20,29&lt;'节点与说明'!O20),1,"")))</x:f>
        <x:v>2</x:v>
      </x:c>
      <x:c r="AK27" s="13" t="str">
        <x:f>IF(OR('节点与说明'!H20="不适用",30&gt;'时间线'!$C$9+1),"",IF(AND(30&gt;='节点与说明'!O20,30&lt;='节点与说明'!P20),2,IF(AND(30&gt;='节点与说明'!O20-'节点与说明'!G20,30&lt;'节点与说明'!O20),1,"")))</x:f>
      </x:c>
      <x:c r="AL27" s="13" t="str">
        <x:f>IF(OR('节点与说明'!H20="不适用",31&gt;'时间线'!$C$9+1),"",IF(AND(31&gt;='节点与说明'!O20,31&lt;='节点与说明'!P20),2,IF(AND(31&gt;='节点与说明'!O20-'节点与说明'!G20,31&lt;'节点与说明'!O20),1,"")))</x:f>
      </x:c>
      <x:c r="AM27" s="13" t="str">
        <x:f>IF(OR('节点与说明'!H20="不适用",32&gt;'时间线'!$C$9+1),"",IF(AND(32&gt;='节点与说明'!O20,32&lt;='节点与说明'!P20),2,IF(AND(32&gt;='节点与说明'!O20-'节点与说明'!G20,32&lt;'节点与说明'!O20),1,"")))</x:f>
      </x:c>
      <x:c r="AN27" s="13" t="str">
        <x:f>IF(OR('节点与说明'!H20="不适用",33&gt;'时间线'!$C$9+1),"",IF(AND(33&gt;='节点与说明'!O20,33&lt;='节点与说明'!P20),2,IF(AND(33&gt;='节点与说明'!O20-'节点与说明'!G20,33&lt;'节点与说明'!O20),1,"")))</x:f>
      </x:c>
      <x:c r="AO27" s="13" t="str">
        <x:f>IF(OR('节点与说明'!H20="不适用",34&gt;'时间线'!$C$9+1),"",IF(AND(34&gt;='节点与说明'!O20,34&lt;='节点与说明'!P20),2,IF(AND(34&gt;='节点与说明'!O20-'节点与说明'!G20,34&lt;'节点与说明'!O20),1,"")))</x:f>
      </x:c>
      <x:c r="AP27" s="13" t="str">
        <x:f>IF(OR('节点与说明'!H20="不适用",35&gt;'时间线'!$C$9+1),"",IF(AND(35&gt;='节点与说明'!O20,35&lt;='节点与说明'!P20),2,IF(AND(35&gt;='节点与说明'!O20-'节点与说明'!G20,35&lt;'节点与说明'!O20),1,"")))</x:f>
      </x:c>
      <x:c r="AQ27" s="2"/>
      <x:c r="AR27" s="11" t="str">
        <x:f>'节点与说明'!N20</x:f>
        <x:v>先拿到学院答辩批次日期；至少比硬要求再早2–4周交导师。</x:v>
      </x:c>
    </x:row>
    <x:row r="28" ht="38" customHeight="1">
      <x:c r="A28" s="2" t="str">
        <x:f>'节点与说明'!A21</x:f>
        <x:v>A11</x:v>
      </x:c>
      <x:c r="B28" s="15" t="str">
        <x:f>'节点与说明'!B21</x:f>
        <x:v>培养</x:v>
      </x:c>
      <x:c r="C28" s="11" t="str">
        <x:f>'节点与说明'!C21</x:f>
        <x:v>预答辩与学位申请资格审查</x:v>
      </x:c>
      <x:c r="D28" s="2" t="str">
        <x:f>'节点与说明'!H21</x:f>
        <x:v>待确认</x:v>
      </x:c>
      <x:c r="E28" s="2" t="n">
        <x:f>'节点与说明'!G21</x:f>
        <x:v>1</x:v>
      </x:c>
      <x:c r="F28" s="2" t="str">
        <x:f>'节点与说明'!S21</x:f>
        <x:v>研3·1月</x:v>
      </x:c>
      <x:c r="G28" s="13" t="str">
        <x:f>IF(OR('节点与说明'!H21="不适用",0&gt;'时间线'!$C$9+1),"",IF(AND(0&gt;='节点与说明'!O21,0&lt;='节点与说明'!P21),2,IF(AND(0&gt;='节点与说明'!O21-'节点与说明'!G21,0&lt;'节点与说明'!O21),1,"")))</x:f>
      </x:c>
      <x:c r="H28" s="13" t="str">
        <x:f>IF(OR('节点与说明'!H21="不适用",1&gt;'时间线'!$C$9+1),"",IF(AND(1&gt;='节点与说明'!O21,1&lt;='节点与说明'!P21),2,IF(AND(1&gt;='节点与说明'!O21-'节点与说明'!G21,1&lt;'节点与说明'!O21),1,"")))</x:f>
      </x:c>
      <x:c r="I28" s="13" t="str">
        <x:f>IF(OR('节点与说明'!H21="不适用",2&gt;'时间线'!$C$9+1),"",IF(AND(2&gt;='节点与说明'!O21,2&lt;='节点与说明'!P21),2,IF(AND(2&gt;='节点与说明'!O21-'节点与说明'!G21,2&lt;'节点与说明'!O21),1,"")))</x:f>
      </x:c>
      <x:c r="J28" s="13" t="str">
        <x:f>IF(OR('节点与说明'!H21="不适用",3&gt;'时间线'!$C$9+1),"",IF(AND(3&gt;='节点与说明'!O21,3&lt;='节点与说明'!P21),2,IF(AND(3&gt;='节点与说明'!O21-'节点与说明'!G21,3&lt;'节点与说明'!O21),1,"")))</x:f>
      </x:c>
      <x:c r="K28" s="13" t="str">
        <x:f>IF(OR('节点与说明'!H21="不适用",4&gt;'时间线'!$C$9+1),"",IF(AND(4&gt;='节点与说明'!O21,4&lt;='节点与说明'!P21),2,IF(AND(4&gt;='节点与说明'!O21-'节点与说明'!G21,4&lt;'节点与说明'!O21),1,"")))</x:f>
      </x:c>
      <x:c r="L28" s="13" t="str">
        <x:f>IF(OR('节点与说明'!H21="不适用",5&gt;'时间线'!$C$9+1),"",IF(AND(5&gt;='节点与说明'!O21,5&lt;='节点与说明'!P21),2,IF(AND(5&gt;='节点与说明'!O21-'节点与说明'!G21,5&lt;'节点与说明'!O21),1,"")))</x:f>
      </x:c>
      <x:c r="M28" s="13" t="str">
        <x:f>IF(OR('节点与说明'!H21="不适用",6&gt;'时间线'!$C$9+1),"",IF(AND(6&gt;='节点与说明'!O21,6&lt;='节点与说明'!P21),2,IF(AND(6&gt;='节点与说明'!O21-'节点与说明'!G21,6&lt;'节点与说明'!O21),1,"")))</x:f>
      </x:c>
      <x:c r="N28" s="13" t="str">
        <x:f>IF(OR('节点与说明'!H21="不适用",7&gt;'时间线'!$C$9+1),"",IF(AND(7&gt;='节点与说明'!O21,7&lt;='节点与说明'!P21),2,IF(AND(7&gt;='节点与说明'!O21-'节点与说明'!G21,7&lt;'节点与说明'!O21),1,"")))</x:f>
      </x:c>
      <x:c r="O28" s="13" t="str">
        <x:f>IF(OR('节点与说明'!H21="不适用",8&gt;'时间线'!$C$9+1),"",IF(AND(8&gt;='节点与说明'!O21,8&lt;='节点与说明'!P21),2,IF(AND(8&gt;='节点与说明'!O21-'节点与说明'!G21,8&lt;'节点与说明'!O21),1,"")))</x:f>
      </x:c>
      <x:c r="P28" s="13" t="str">
        <x:f>IF(OR('节点与说明'!H21="不适用",9&gt;'时间线'!$C$9+1),"",IF(AND(9&gt;='节点与说明'!O21,9&lt;='节点与说明'!P21),2,IF(AND(9&gt;='节点与说明'!O21-'节点与说明'!G21,9&lt;'节点与说明'!O21),1,"")))</x:f>
      </x:c>
      <x:c r="Q28" s="13" t="str">
        <x:f>IF(OR('节点与说明'!H21="不适用",10&gt;'时间线'!$C$9+1),"",IF(AND(10&gt;='节点与说明'!O21,10&lt;='节点与说明'!P21),2,IF(AND(10&gt;='节点与说明'!O21-'节点与说明'!G21,10&lt;'节点与说明'!O21),1,"")))</x:f>
      </x:c>
      <x:c r="R28" s="13" t="str">
        <x:f>IF(OR('节点与说明'!H21="不适用",11&gt;'时间线'!$C$9+1),"",IF(AND(11&gt;='节点与说明'!O21,11&lt;='节点与说明'!P21),2,IF(AND(11&gt;='节点与说明'!O21-'节点与说明'!G21,11&lt;'节点与说明'!O21),1,"")))</x:f>
      </x:c>
      <x:c r="S28" s="13" t="str">
        <x:f>IF(OR('节点与说明'!H21="不适用",12&gt;'时间线'!$C$9+1),"",IF(AND(12&gt;='节点与说明'!O21,12&lt;='节点与说明'!P21),2,IF(AND(12&gt;='节点与说明'!O21-'节点与说明'!G21,12&lt;'节点与说明'!O21),1,"")))</x:f>
      </x:c>
      <x:c r="T28" s="13" t="str">
        <x:f>IF(OR('节点与说明'!H21="不适用",13&gt;'时间线'!$C$9+1),"",IF(AND(13&gt;='节点与说明'!O21,13&lt;='节点与说明'!P21),2,IF(AND(13&gt;='节点与说明'!O21-'节点与说明'!G21,13&lt;'节点与说明'!O21),1,"")))</x:f>
      </x:c>
      <x:c r="U28" s="13" t="str">
        <x:f>IF(OR('节点与说明'!H21="不适用",14&gt;'时间线'!$C$9+1),"",IF(AND(14&gt;='节点与说明'!O21,14&lt;='节点与说明'!P21),2,IF(AND(14&gt;='节点与说明'!O21-'节点与说明'!G21,14&lt;'节点与说明'!O21),1,"")))</x:f>
      </x:c>
      <x:c r="V28" s="13" t="str">
        <x:f>IF(OR('节点与说明'!H21="不适用",15&gt;'时间线'!$C$9+1),"",IF(AND(15&gt;='节点与说明'!O21,15&lt;='节点与说明'!P21),2,IF(AND(15&gt;='节点与说明'!O21-'节点与说明'!G21,15&lt;'节点与说明'!O21),1,"")))</x:f>
      </x:c>
      <x:c r="W28" s="13" t="str">
        <x:f>IF(OR('节点与说明'!H21="不适用",16&gt;'时间线'!$C$9+1),"",IF(AND(16&gt;='节点与说明'!O21,16&lt;='节点与说明'!P21),2,IF(AND(16&gt;='节点与说明'!O21-'节点与说明'!G21,16&lt;'节点与说明'!O21),1,"")))</x:f>
      </x:c>
      <x:c r="X28" s="13" t="str">
        <x:f>IF(OR('节点与说明'!H21="不适用",17&gt;'时间线'!$C$9+1),"",IF(AND(17&gt;='节点与说明'!O21,17&lt;='节点与说明'!P21),2,IF(AND(17&gt;='节点与说明'!O21-'节点与说明'!G21,17&lt;'节点与说明'!O21),1,"")))</x:f>
      </x:c>
      <x:c r="Y28" s="13" t="str">
        <x:f>IF(OR('节点与说明'!H21="不适用",18&gt;'时间线'!$C$9+1),"",IF(AND(18&gt;='节点与说明'!O21,18&lt;='节点与说明'!P21),2,IF(AND(18&gt;='节点与说明'!O21-'节点与说明'!G21,18&lt;'节点与说明'!O21),1,"")))</x:f>
      </x:c>
      <x:c r="Z28" s="13" t="str">
        <x:f>IF(OR('节点与说明'!H21="不适用",19&gt;'时间线'!$C$9+1),"",IF(AND(19&gt;='节点与说明'!O21,19&lt;='节点与说明'!P21),2,IF(AND(19&gt;='节点与说明'!O21-'节点与说明'!G21,19&lt;'节点与说明'!O21),1,"")))</x:f>
      </x:c>
      <x:c r="AA28" s="13" t="str">
        <x:f>IF(OR('节点与说明'!H21="不适用",20&gt;'时间线'!$C$9+1),"",IF(AND(20&gt;='节点与说明'!O21,20&lt;='节点与说明'!P21),2,IF(AND(20&gt;='节点与说明'!O21-'节点与说明'!G21,20&lt;'节点与说明'!O21),1,"")))</x:f>
      </x:c>
      <x:c r="AB28" s="13" t="str">
        <x:f>IF(OR('节点与说明'!H21="不适用",21&gt;'时间线'!$C$9+1),"",IF(AND(21&gt;='节点与说明'!O21,21&lt;='节点与说明'!P21),2,IF(AND(21&gt;='节点与说明'!O21-'节点与说明'!G21,21&lt;'节点与说明'!O21),1,"")))</x:f>
      </x:c>
      <x:c r="AC28" s="13" t="str">
        <x:f>IF(OR('节点与说明'!H21="不适用",22&gt;'时间线'!$C$9+1),"",IF(AND(22&gt;='节点与说明'!O21,22&lt;='节点与说明'!P21),2,IF(AND(22&gt;='节点与说明'!O21-'节点与说明'!G21,22&lt;'节点与说明'!O21),1,"")))</x:f>
      </x:c>
      <x:c r="AD28" s="13" t="str">
        <x:f>IF(OR('节点与说明'!H21="不适用",23&gt;'时间线'!$C$9+1),"",IF(AND(23&gt;='节点与说明'!O21,23&lt;='节点与说明'!P21),2,IF(AND(23&gt;='节点与说明'!O21-'节点与说明'!G21,23&lt;'节点与说明'!O21),1,"")))</x:f>
      </x:c>
      <x:c r="AE28" s="13" t="str">
        <x:f>IF(OR('节点与说明'!H21="不适用",24&gt;'时间线'!$C$9+1),"",IF(AND(24&gt;='节点与说明'!O21,24&lt;='节点与说明'!P21),2,IF(AND(24&gt;='节点与说明'!O21-'节点与说明'!G21,24&lt;'节点与说明'!O21),1,"")))</x:f>
      </x:c>
      <x:c r="AF28" s="13" t="str">
        <x:f>IF(OR('节点与说明'!H21="不适用",25&gt;'时间线'!$C$9+1),"",IF(AND(25&gt;='节点与说明'!O21,25&lt;='节点与说明'!P21),2,IF(AND(25&gt;='节点与说明'!O21-'节点与说明'!G21,25&lt;'节点与说明'!O21),1,"")))</x:f>
      </x:c>
      <x:c r="AG28" s="13" t="str">
        <x:f>IF(OR('节点与说明'!H21="不适用",26&gt;'时间线'!$C$9+1),"",IF(AND(26&gt;='节点与说明'!O21,26&lt;='节点与说明'!P21),2,IF(AND(26&gt;='节点与说明'!O21-'节点与说明'!G21,26&lt;'节点与说明'!O21),1,"")))</x:f>
      </x:c>
      <x:c r="AH28" s="13" t="str">
        <x:f>IF(OR('节点与说明'!H21="不适用",27&gt;'时间线'!$C$9+1),"",IF(AND(27&gt;='节点与说明'!O21,27&lt;='节点与说明'!P21),2,IF(AND(27&gt;='节点与说明'!O21-'节点与说明'!G21,27&lt;'节点与说明'!O21),1,"")))</x:f>
      </x:c>
      <x:c r="AI28" s="13" t="n">
        <x:f>IF(OR('节点与说明'!H21="不适用",28&gt;'时间线'!$C$9+1),"",IF(AND(28&gt;='节点与说明'!O21,28&lt;='节点与说明'!P21),2,IF(AND(28&gt;='节点与说明'!O21-'节点与说明'!G21,28&lt;'节点与说明'!O21),1,"")))</x:f>
        <x:v>1</x:v>
      </x:c>
      <x:c r="AJ28" s="13" t="n">
        <x:f>IF(OR('节点与说明'!H21="不适用",29&gt;'时间线'!$C$9+1),"",IF(AND(29&gt;='节点与说明'!O21,29&lt;='节点与说明'!P21),2,IF(AND(29&gt;='节点与说明'!O21-'节点与说明'!G21,29&lt;'节点与说明'!O21),1,"")))</x:f>
        <x:v>2</x:v>
      </x:c>
      <x:c r="AK28" s="13" t="n">
        <x:f>IF(OR('节点与说明'!H21="不适用",30&gt;'时间线'!$C$9+1),"",IF(AND(30&gt;='节点与说明'!O21,30&lt;='节点与说明'!P21),2,IF(AND(30&gt;='节点与说明'!O21-'节点与说明'!G21,30&lt;'节点与说明'!O21),1,"")))</x:f>
        <x:v>2</x:v>
      </x:c>
      <x:c r="AL28" s="13" t="str">
        <x:f>IF(OR('节点与说明'!H21="不适用",31&gt;'时间线'!$C$9+1),"",IF(AND(31&gt;='节点与说明'!O21,31&lt;='节点与说明'!P21),2,IF(AND(31&gt;='节点与说明'!O21-'节点与说明'!G21,31&lt;'节点与说明'!O21),1,"")))</x:f>
      </x:c>
      <x:c r="AM28" s="13" t="str">
        <x:f>IF(OR('节点与说明'!H21="不适用",32&gt;'时间线'!$C$9+1),"",IF(AND(32&gt;='节点与说明'!O21,32&lt;='节点与说明'!P21),2,IF(AND(32&gt;='节点与说明'!O21-'节点与说明'!G21,32&lt;'节点与说明'!O21),1,"")))</x:f>
      </x:c>
      <x:c r="AN28" s="13" t="str">
        <x:f>IF(OR('节点与说明'!H21="不适用",33&gt;'时间线'!$C$9+1),"",IF(AND(33&gt;='节点与说明'!O21,33&lt;='节点与说明'!P21),2,IF(AND(33&gt;='节点与说明'!O21-'节点与说明'!G21,33&lt;'节点与说明'!O21),1,"")))</x:f>
      </x:c>
      <x:c r="AO28" s="13" t="str">
        <x:f>IF(OR('节点与说明'!H21="不适用",34&gt;'时间线'!$C$9+1),"",IF(AND(34&gt;='节点与说明'!O21,34&lt;='节点与说明'!P21),2,IF(AND(34&gt;='节点与说明'!O21-'节点与说明'!G21,34&lt;'节点与说明'!O21),1,"")))</x:f>
      </x:c>
      <x:c r="AP28" s="13" t="str">
        <x:f>IF(OR('节点与说明'!H21="不适用",35&gt;'时间线'!$C$9+1),"",IF(AND(35&gt;='节点与说明'!O21,35&lt;='节点与说明'!P21),2,IF(AND(35&gt;='节点与说明'!O21-'节点与说明'!G21,35&lt;'节点与说明'!O21),1,"")))</x:f>
      </x:c>
      <x:c r="AQ28" s="2"/>
      <x:c r="AR28" s="11" t="str">
        <x:f>'节点与说明'!N21</x:f>
        <x:v>提前确认系统入口、材料模板、专家安排及预登记时间。</x:v>
      </x:c>
    </x:row>
    <x:row r="29" ht="38" customHeight="1">
      <x:c r="A29" s="2" t="str">
        <x:f>'节点与说明'!A22</x:f>
        <x:v>A12</x:v>
      </x:c>
      <x:c r="B29" s="15" t="str">
        <x:f>'节点与说明'!B22</x:f>
        <x:v>培养</x:v>
      </x:c>
      <x:c r="C29" s="11" t="str">
        <x:f>'节点与说明'!C22</x:f>
        <x:v>送审前查重及规范检查</x:v>
      </x:c>
      <x:c r="D29" s="2" t="str">
        <x:f>'节点与说明'!H22</x:f>
        <x:v>待确认</x:v>
      </x:c>
      <x:c r="E29" s="2" t="n">
        <x:f>'节点与说明'!G22</x:f>
        <x:v>1</x:v>
      </x:c>
      <x:c r="F29" s="2" t="str">
        <x:f>'节点与说明'!S22</x:f>
        <x:v>研3·2月</x:v>
      </x:c>
      <x:c r="G29" s="13" t="str">
        <x:f>IF(OR('节点与说明'!H22="不适用",0&gt;'时间线'!$C$9+1),"",IF(AND(0&gt;='节点与说明'!O22,0&lt;='节点与说明'!P22),2,IF(AND(0&gt;='节点与说明'!O22-'节点与说明'!G22,0&lt;'节点与说明'!O22),1,"")))</x:f>
      </x:c>
      <x:c r="H29" s="13" t="str">
        <x:f>IF(OR('节点与说明'!H22="不适用",1&gt;'时间线'!$C$9+1),"",IF(AND(1&gt;='节点与说明'!O22,1&lt;='节点与说明'!P22),2,IF(AND(1&gt;='节点与说明'!O22-'节点与说明'!G22,1&lt;'节点与说明'!O22),1,"")))</x:f>
      </x:c>
      <x:c r="I29" s="13" t="str">
        <x:f>IF(OR('节点与说明'!H22="不适用",2&gt;'时间线'!$C$9+1),"",IF(AND(2&gt;='节点与说明'!O22,2&lt;='节点与说明'!P22),2,IF(AND(2&gt;='节点与说明'!O22-'节点与说明'!G22,2&lt;'节点与说明'!O22),1,"")))</x:f>
      </x:c>
      <x:c r="J29" s="13" t="str">
        <x:f>IF(OR('节点与说明'!H22="不适用",3&gt;'时间线'!$C$9+1),"",IF(AND(3&gt;='节点与说明'!O22,3&lt;='节点与说明'!P22),2,IF(AND(3&gt;='节点与说明'!O22-'节点与说明'!G22,3&lt;'节点与说明'!O22),1,"")))</x:f>
      </x:c>
      <x:c r="K29" s="13" t="str">
        <x:f>IF(OR('节点与说明'!H22="不适用",4&gt;'时间线'!$C$9+1),"",IF(AND(4&gt;='节点与说明'!O22,4&lt;='节点与说明'!P22),2,IF(AND(4&gt;='节点与说明'!O22-'节点与说明'!G22,4&lt;'节点与说明'!O22),1,"")))</x:f>
      </x:c>
      <x:c r="L29" s="13" t="str">
        <x:f>IF(OR('节点与说明'!H22="不适用",5&gt;'时间线'!$C$9+1),"",IF(AND(5&gt;='节点与说明'!O22,5&lt;='节点与说明'!P22),2,IF(AND(5&gt;='节点与说明'!O22-'节点与说明'!G22,5&lt;'节点与说明'!O22),1,"")))</x:f>
      </x:c>
      <x:c r="M29" s="13" t="str">
        <x:f>IF(OR('节点与说明'!H22="不适用",6&gt;'时间线'!$C$9+1),"",IF(AND(6&gt;='节点与说明'!O22,6&lt;='节点与说明'!P22),2,IF(AND(6&gt;='节点与说明'!O22-'节点与说明'!G22,6&lt;'节点与说明'!O22),1,"")))</x:f>
      </x:c>
      <x:c r="N29" s="13" t="str">
        <x:f>IF(OR('节点与说明'!H22="不适用",7&gt;'时间线'!$C$9+1),"",IF(AND(7&gt;='节点与说明'!O22,7&lt;='节点与说明'!P22),2,IF(AND(7&gt;='节点与说明'!O22-'节点与说明'!G22,7&lt;'节点与说明'!O22),1,"")))</x:f>
      </x:c>
      <x:c r="O29" s="13" t="str">
        <x:f>IF(OR('节点与说明'!H22="不适用",8&gt;'时间线'!$C$9+1),"",IF(AND(8&gt;='节点与说明'!O22,8&lt;='节点与说明'!P22),2,IF(AND(8&gt;='节点与说明'!O22-'节点与说明'!G22,8&lt;'节点与说明'!O22),1,"")))</x:f>
      </x:c>
      <x:c r="P29" s="13" t="str">
        <x:f>IF(OR('节点与说明'!H22="不适用",9&gt;'时间线'!$C$9+1),"",IF(AND(9&gt;='节点与说明'!O22,9&lt;='节点与说明'!P22),2,IF(AND(9&gt;='节点与说明'!O22-'节点与说明'!G22,9&lt;'节点与说明'!O22),1,"")))</x:f>
      </x:c>
      <x:c r="Q29" s="13" t="str">
        <x:f>IF(OR('节点与说明'!H22="不适用",10&gt;'时间线'!$C$9+1),"",IF(AND(10&gt;='节点与说明'!O22,10&lt;='节点与说明'!P22),2,IF(AND(10&gt;='节点与说明'!O22-'节点与说明'!G22,10&lt;'节点与说明'!O22),1,"")))</x:f>
      </x:c>
      <x:c r="R29" s="13" t="str">
        <x:f>IF(OR('节点与说明'!H22="不适用",11&gt;'时间线'!$C$9+1),"",IF(AND(11&gt;='节点与说明'!O22,11&lt;='节点与说明'!P22),2,IF(AND(11&gt;='节点与说明'!O22-'节点与说明'!G22,11&lt;'节点与说明'!O22),1,"")))</x:f>
      </x:c>
      <x:c r="S29" s="13" t="str">
        <x:f>IF(OR('节点与说明'!H22="不适用",12&gt;'时间线'!$C$9+1),"",IF(AND(12&gt;='节点与说明'!O22,12&lt;='节点与说明'!P22),2,IF(AND(12&gt;='节点与说明'!O22-'节点与说明'!G22,12&lt;'节点与说明'!O22),1,"")))</x:f>
      </x:c>
      <x:c r="T29" s="13" t="str">
        <x:f>IF(OR('节点与说明'!H22="不适用",13&gt;'时间线'!$C$9+1),"",IF(AND(13&gt;='节点与说明'!O22,13&lt;='节点与说明'!P22),2,IF(AND(13&gt;='节点与说明'!O22-'节点与说明'!G22,13&lt;'节点与说明'!O22),1,"")))</x:f>
      </x:c>
      <x:c r="U29" s="13" t="str">
        <x:f>IF(OR('节点与说明'!H22="不适用",14&gt;'时间线'!$C$9+1),"",IF(AND(14&gt;='节点与说明'!O22,14&lt;='节点与说明'!P22),2,IF(AND(14&gt;='节点与说明'!O22-'节点与说明'!G22,14&lt;'节点与说明'!O22),1,"")))</x:f>
      </x:c>
      <x:c r="V29" s="13" t="str">
        <x:f>IF(OR('节点与说明'!H22="不适用",15&gt;'时间线'!$C$9+1),"",IF(AND(15&gt;='节点与说明'!O22,15&lt;='节点与说明'!P22),2,IF(AND(15&gt;='节点与说明'!O22-'节点与说明'!G22,15&lt;'节点与说明'!O22),1,"")))</x:f>
      </x:c>
      <x:c r="W29" s="13" t="str">
        <x:f>IF(OR('节点与说明'!H22="不适用",16&gt;'时间线'!$C$9+1),"",IF(AND(16&gt;='节点与说明'!O22,16&lt;='节点与说明'!P22),2,IF(AND(16&gt;='节点与说明'!O22-'节点与说明'!G22,16&lt;'节点与说明'!O22),1,"")))</x:f>
      </x:c>
      <x:c r="X29" s="13" t="str">
        <x:f>IF(OR('节点与说明'!H22="不适用",17&gt;'时间线'!$C$9+1),"",IF(AND(17&gt;='节点与说明'!O22,17&lt;='节点与说明'!P22),2,IF(AND(17&gt;='节点与说明'!O22-'节点与说明'!G22,17&lt;'节点与说明'!O22),1,"")))</x:f>
      </x:c>
      <x:c r="Y29" s="13" t="str">
        <x:f>IF(OR('节点与说明'!H22="不适用",18&gt;'时间线'!$C$9+1),"",IF(AND(18&gt;='节点与说明'!O22,18&lt;='节点与说明'!P22),2,IF(AND(18&gt;='节点与说明'!O22-'节点与说明'!G22,18&lt;'节点与说明'!O22),1,"")))</x:f>
      </x:c>
      <x:c r="Z29" s="13" t="str">
        <x:f>IF(OR('节点与说明'!H22="不适用",19&gt;'时间线'!$C$9+1),"",IF(AND(19&gt;='节点与说明'!O22,19&lt;='节点与说明'!P22),2,IF(AND(19&gt;='节点与说明'!O22-'节点与说明'!G22,19&lt;'节点与说明'!O22),1,"")))</x:f>
      </x:c>
      <x:c r="AA29" s="13" t="str">
        <x:f>IF(OR('节点与说明'!H22="不适用",20&gt;'时间线'!$C$9+1),"",IF(AND(20&gt;='节点与说明'!O22,20&lt;='节点与说明'!P22),2,IF(AND(20&gt;='节点与说明'!O22-'节点与说明'!G22,20&lt;'节点与说明'!O22),1,"")))</x:f>
      </x:c>
      <x:c r="AB29" s="13" t="str">
        <x:f>IF(OR('节点与说明'!H22="不适用",21&gt;'时间线'!$C$9+1),"",IF(AND(21&gt;='节点与说明'!O22,21&lt;='节点与说明'!P22),2,IF(AND(21&gt;='节点与说明'!O22-'节点与说明'!G22,21&lt;'节点与说明'!O22),1,"")))</x:f>
      </x:c>
      <x:c r="AC29" s="13" t="str">
        <x:f>IF(OR('节点与说明'!H22="不适用",22&gt;'时间线'!$C$9+1),"",IF(AND(22&gt;='节点与说明'!O22,22&lt;='节点与说明'!P22),2,IF(AND(22&gt;='节点与说明'!O22-'节点与说明'!G22,22&lt;'节点与说明'!O22),1,"")))</x:f>
      </x:c>
      <x:c r="AD29" s="13" t="str">
        <x:f>IF(OR('节点与说明'!H22="不适用",23&gt;'时间线'!$C$9+1),"",IF(AND(23&gt;='节点与说明'!O22,23&lt;='节点与说明'!P22),2,IF(AND(23&gt;='节点与说明'!O22-'节点与说明'!G22,23&lt;'节点与说明'!O22),1,"")))</x:f>
      </x:c>
      <x:c r="AE29" s="13" t="str">
        <x:f>IF(OR('节点与说明'!H22="不适用",24&gt;'时间线'!$C$9+1),"",IF(AND(24&gt;='节点与说明'!O22,24&lt;='节点与说明'!P22),2,IF(AND(24&gt;='节点与说明'!O22-'节点与说明'!G22,24&lt;'节点与说明'!O22),1,"")))</x:f>
      </x:c>
      <x:c r="AF29" s="13" t="str">
        <x:f>IF(OR('节点与说明'!H22="不适用",25&gt;'时间线'!$C$9+1),"",IF(AND(25&gt;='节点与说明'!O22,25&lt;='节点与说明'!P22),2,IF(AND(25&gt;='节点与说明'!O22-'节点与说明'!G22,25&lt;'节点与说明'!O22),1,"")))</x:f>
      </x:c>
      <x:c r="AG29" s="13" t="str">
        <x:f>IF(OR('节点与说明'!H22="不适用",26&gt;'时间线'!$C$9+1),"",IF(AND(26&gt;='节点与说明'!O22,26&lt;='节点与说明'!P22),2,IF(AND(26&gt;='节点与说明'!O22-'节点与说明'!G22,26&lt;'节点与说明'!O22),1,"")))</x:f>
      </x:c>
      <x:c r="AH29" s="13" t="str">
        <x:f>IF(OR('节点与说明'!H22="不适用",27&gt;'时间线'!$C$9+1),"",IF(AND(27&gt;='节点与说明'!O22,27&lt;='节点与说明'!P22),2,IF(AND(27&gt;='节点与说明'!O22-'节点与说明'!G22,27&lt;'节点与说明'!O22),1,"")))</x:f>
      </x:c>
      <x:c r="AI29" s="13" t="str">
        <x:f>IF(OR('节点与说明'!H22="不适用",28&gt;'时间线'!$C$9+1),"",IF(AND(28&gt;='节点与说明'!O22,28&lt;='节点与说明'!P22),2,IF(AND(28&gt;='节点与说明'!O22-'节点与说明'!G22,28&lt;'节点与说明'!O22),1,"")))</x:f>
      </x:c>
      <x:c r="AJ29" s="13" t="n">
        <x:f>IF(OR('节点与说明'!H22="不适用",29&gt;'时间线'!$C$9+1),"",IF(AND(29&gt;='节点与说明'!O22,29&lt;='节点与说明'!P22),2,IF(AND(29&gt;='节点与说明'!O22-'节点与说明'!G22,29&lt;'节点与说明'!O22),1,"")))</x:f>
        <x:v>1</x:v>
      </x:c>
      <x:c r="AK29" s="13" t="n">
        <x:f>IF(OR('节点与说明'!H22="不适用",30&gt;'时间线'!$C$9+1),"",IF(AND(30&gt;='节点与说明'!O22,30&lt;='节点与说明'!P22),2,IF(AND(30&gt;='节点与说明'!O22-'节点与说明'!G22,30&lt;'节点与说明'!O22),1,"")))</x:f>
        <x:v>2</x:v>
      </x:c>
      <x:c r="AL29" s="13" t="str">
        <x:f>IF(OR('节点与说明'!H22="不适用",31&gt;'时间线'!$C$9+1),"",IF(AND(31&gt;='节点与说明'!O22,31&lt;='节点与说明'!P22),2,IF(AND(31&gt;='节点与说明'!O22-'节点与说明'!G22,31&lt;'节点与说明'!O22),1,"")))</x:f>
      </x:c>
      <x:c r="AM29" s="13" t="str">
        <x:f>IF(OR('节点与说明'!H22="不适用",32&gt;'时间线'!$C$9+1),"",IF(AND(32&gt;='节点与说明'!O22,32&lt;='节点与说明'!P22),2,IF(AND(32&gt;='节点与说明'!O22-'节点与说明'!G22,32&lt;'节点与说明'!O22),1,"")))</x:f>
      </x:c>
      <x:c r="AN29" s="13" t="str">
        <x:f>IF(OR('节点与说明'!H22="不适用",33&gt;'时间线'!$C$9+1),"",IF(AND(33&gt;='节点与说明'!O22,33&lt;='节点与说明'!P22),2,IF(AND(33&gt;='节点与说明'!O22-'节点与说明'!G22,33&lt;'节点与说明'!O22),1,"")))</x:f>
      </x:c>
      <x:c r="AO29" s="13" t="str">
        <x:f>IF(OR('节点与说明'!H22="不适用",34&gt;'时间线'!$C$9+1),"",IF(AND(34&gt;='节点与说明'!O22,34&lt;='节点与说明'!P22),2,IF(AND(34&gt;='节点与说明'!O22-'节点与说明'!G22,34&lt;'节点与说明'!O22),1,"")))</x:f>
      </x:c>
      <x:c r="AP29" s="13" t="str">
        <x:f>IF(OR('节点与说明'!H22="不适用",35&gt;'时间线'!$C$9+1),"",IF(AND(35&gt;='节点与说明'!O22,35&lt;='节点与说明'!P22),2,IF(AND(35&gt;='节点与说明'!O22-'节点与说明'!G22,35&lt;'节点与说明'!O22),1,"")))</x:f>
      </x:c>
      <x:c r="AQ29" s="2"/>
      <x:c r="AR29" s="11" t="str">
        <x:f>'节点与说明'!N22</x:f>
        <x:v>平时保持引用与数据记录；送审前一次完成匿名、模板、目录及参考文献检查。</x:v>
      </x:c>
    </x:row>
    <x:row r="30" ht="38" customHeight="1">
      <x:c r="A30" s="2" t="str">
        <x:f>'节点与说明'!A23</x:f>
        <x:v>A13</x:v>
      </x:c>
      <x:c r="B30" s="15" t="str">
        <x:f>'节点与说明'!B23</x:f>
        <x:v>培养</x:v>
      </x:c>
      <x:c r="C30" s="11" t="str">
        <x:f>'节点与说明'!C23</x:f>
        <x:v>论文送审／专家评阅</x:v>
      </x:c>
      <x:c r="D30" s="2" t="str">
        <x:f>'节点与说明'!H23</x:f>
        <x:v>待确认</x:v>
      </x:c>
      <x:c r="E30" s="2" t="n">
        <x:f>'节点与说明'!G23</x:f>
        <x:v>1</x:v>
      </x:c>
      <x:c r="F30" s="2" t="str">
        <x:f>'节点与说明'!S23</x:f>
        <x:v>研3·2月</x:v>
      </x:c>
      <x:c r="G30" s="13" t="str">
        <x:f>IF(OR('节点与说明'!H23="不适用",0&gt;'时间线'!$C$9+1),"",IF(AND(0&gt;='节点与说明'!O23,0&lt;='节点与说明'!P23),2,IF(AND(0&gt;='节点与说明'!O23-'节点与说明'!G23,0&lt;'节点与说明'!O23),1,"")))</x:f>
      </x:c>
      <x:c r="H30" s="13" t="str">
        <x:f>IF(OR('节点与说明'!H23="不适用",1&gt;'时间线'!$C$9+1),"",IF(AND(1&gt;='节点与说明'!O23,1&lt;='节点与说明'!P23),2,IF(AND(1&gt;='节点与说明'!O23-'节点与说明'!G23,1&lt;'节点与说明'!O23),1,"")))</x:f>
      </x:c>
      <x:c r="I30" s="13" t="str">
        <x:f>IF(OR('节点与说明'!H23="不适用",2&gt;'时间线'!$C$9+1),"",IF(AND(2&gt;='节点与说明'!O23,2&lt;='节点与说明'!P23),2,IF(AND(2&gt;='节点与说明'!O23-'节点与说明'!G23,2&lt;'节点与说明'!O23),1,"")))</x:f>
      </x:c>
      <x:c r="J30" s="13" t="str">
        <x:f>IF(OR('节点与说明'!H23="不适用",3&gt;'时间线'!$C$9+1),"",IF(AND(3&gt;='节点与说明'!O23,3&lt;='节点与说明'!P23),2,IF(AND(3&gt;='节点与说明'!O23-'节点与说明'!G23,3&lt;'节点与说明'!O23),1,"")))</x:f>
      </x:c>
      <x:c r="K30" s="13" t="str">
        <x:f>IF(OR('节点与说明'!H23="不适用",4&gt;'时间线'!$C$9+1),"",IF(AND(4&gt;='节点与说明'!O23,4&lt;='节点与说明'!P23),2,IF(AND(4&gt;='节点与说明'!O23-'节点与说明'!G23,4&lt;'节点与说明'!O23),1,"")))</x:f>
      </x:c>
      <x:c r="L30" s="13" t="str">
        <x:f>IF(OR('节点与说明'!H23="不适用",5&gt;'时间线'!$C$9+1),"",IF(AND(5&gt;='节点与说明'!O23,5&lt;='节点与说明'!P23),2,IF(AND(5&gt;='节点与说明'!O23-'节点与说明'!G23,5&lt;'节点与说明'!O23),1,"")))</x:f>
      </x:c>
      <x:c r="M30" s="13" t="str">
        <x:f>IF(OR('节点与说明'!H23="不适用",6&gt;'时间线'!$C$9+1),"",IF(AND(6&gt;='节点与说明'!O23,6&lt;='节点与说明'!P23),2,IF(AND(6&gt;='节点与说明'!O23-'节点与说明'!G23,6&lt;'节点与说明'!O23),1,"")))</x:f>
      </x:c>
      <x:c r="N30" s="13" t="str">
        <x:f>IF(OR('节点与说明'!H23="不适用",7&gt;'时间线'!$C$9+1),"",IF(AND(7&gt;='节点与说明'!O23,7&lt;='节点与说明'!P23),2,IF(AND(7&gt;='节点与说明'!O23-'节点与说明'!G23,7&lt;'节点与说明'!O23),1,"")))</x:f>
      </x:c>
      <x:c r="O30" s="13" t="str">
        <x:f>IF(OR('节点与说明'!H23="不适用",8&gt;'时间线'!$C$9+1),"",IF(AND(8&gt;='节点与说明'!O23,8&lt;='节点与说明'!P23),2,IF(AND(8&gt;='节点与说明'!O23-'节点与说明'!G23,8&lt;'节点与说明'!O23),1,"")))</x:f>
      </x:c>
      <x:c r="P30" s="13" t="str">
        <x:f>IF(OR('节点与说明'!H23="不适用",9&gt;'时间线'!$C$9+1),"",IF(AND(9&gt;='节点与说明'!O23,9&lt;='节点与说明'!P23),2,IF(AND(9&gt;='节点与说明'!O23-'节点与说明'!G23,9&lt;'节点与说明'!O23),1,"")))</x:f>
      </x:c>
      <x:c r="Q30" s="13" t="str">
        <x:f>IF(OR('节点与说明'!H23="不适用",10&gt;'时间线'!$C$9+1),"",IF(AND(10&gt;='节点与说明'!O23,10&lt;='节点与说明'!P23),2,IF(AND(10&gt;='节点与说明'!O23-'节点与说明'!G23,10&lt;'节点与说明'!O23),1,"")))</x:f>
      </x:c>
      <x:c r="R30" s="13" t="str">
        <x:f>IF(OR('节点与说明'!H23="不适用",11&gt;'时间线'!$C$9+1),"",IF(AND(11&gt;='节点与说明'!O23,11&lt;='节点与说明'!P23),2,IF(AND(11&gt;='节点与说明'!O23-'节点与说明'!G23,11&lt;'节点与说明'!O23),1,"")))</x:f>
      </x:c>
      <x:c r="S30" s="13" t="str">
        <x:f>IF(OR('节点与说明'!H23="不适用",12&gt;'时间线'!$C$9+1),"",IF(AND(12&gt;='节点与说明'!O23,12&lt;='节点与说明'!P23),2,IF(AND(12&gt;='节点与说明'!O23-'节点与说明'!G23,12&lt;'节点与说明'!O23),1,"")))</x:f>
      </x:c>
      <x:c r="T30" s="13" t="str">
        <x:f>IF(OR('节点与说明'!H23="不适用",13&gt;'时间线'!$C$9+1),"",IF(AND(13&gt;='节点与说明'!O23,13&lt;='节点与说明'!P23),2,IF(AND(13&gt;='节点与说明'!O23-'节点与说明'!G23,13&lt;'节点与说明'!O23),1,"")))</x:f>
      </x:c>
      <x:c r="U30" s="13" t="str">
        <x:f>IF(OR('节点与说明'!H23="不适用",14&gt;'时间线'!$C$9+1),"",IF(AND(14&gt;='节点与说明'!O23,14&lt;='节点与说明'!P23),2,IF(AND(14&gt;='节点与说明'!O23-'节点与说明'!G23,14&lt;'节点与说明'!O23),1,"")))</x:f>
      </x:c>
      <x:c r="V30" s="13" t="str">
        <x:f>IF(OR('节点与说明'!H23="不适用",15&gt;'时间线'!$C$9+1),"",IF(AND(15&gt;='节点与说明'!O23,15&lt;='节点与说明'!P23),2,IF(AND(15&gt;='节点与说明'!O23-'节点与说明'!G23,15&lt;'节点与说明'!O23),1,"")))</x:f>
      </x:c>
      <x:c r="W30" s="13" t="str">
        <x:f>IF(OR('节点与说明'!H23="不适用",16&gt;'时间线'!$C$9+1),"",IF(AND(16&gt;='节点与说明'!O23,16&lt;='节点与说明'!P23),2,IF(AND(16&gt;='节点与说明'!O23-'节点与说明'!G23,16&lt;'节点与说明'!O23),1,"")))</x:f>
      </x:c>
      <x:c r="X30" s="13" t="str">
        <x:f>IF(OR('节点与说明'!H23="不适用",17&gt;'时间线'!$C$9+1),"",IF(AND(17&gt;='节点与说明'!O23,17&lt;='节点与说明'!P23),2,IF(AND(17&gt;='节点与说明'!O23-'节点与说明'!G23,17&lt;'节点与说明'!O23),1,"")))</x:f>
      </x:c>
      <x:c r="Y30" s="13" t="str">
        <x:f>IF(OR('节点与说明'!H23="不适用",18&gt;'时间线'!$C$9+1),"",IF(AND(18&gt;='节点与说明'!O23,18&lt;='节点与说明'!P23),2,IF(AND(18&gt;='节点与说明'!O23-'节点与说明'!G23,18&lt;'节点与说明'!O23),1,"")))</x:f>
      </x:c>
      <x:c r="Z30" s="13" t="str">
        <x:f>IF(OR('节点与说明'!H23="不适用",19&gt;'时间线'!$C$9+1),"",IF(AND(19&gt;='节点与说明'!O23,19&lt;='节点与说明'!P23),2,IF(AND(19&gt;='节点与说明'!O23-'节点与说明'!G23,19&lt;'节点与说明'!O23),1,"")))</x:f>
      </x:c>
      <x:c r="AA30" s="13" t="str">
        <x:f>IF(OR('节点与说明'!H23="不适用",20&gt;'时间线'!$C$9+1),"",IF(AND(20&gt;='节点与说明'!O23,20&lt;='节点与说明'!P23),2,IF(AND(20&gt;='节点与说明'!O23-'节点与说明'!G23,20&lt;'节点与说明'!O23),1,"")))</x:f>
      </x:c>
      <x:c r="AB30" s="13" t="str">
        <x:f>IF(OR('节点与说明'!H23="不适用",21&gt;'时间线'!$C$9+1),"",IF(AND(21&gt;='节点与说明'!O23,21&lt;='节点与说明'!P23),2,IF(AND(21&gt;='节点与说明'!O23-'节点与说明'!G23,21&lt;'节点与说明'!O23),1,"")))</x:f>
      </x:c>
      <x:c r="AC30" s="13" t="str">
        <x:f>IF(OR('节点与说明'!H23="不适用",22&gt;'时间线'!$C$9+1),"",IF(AND(22&gt;='节点与说明'!O23,22&lt;='节点与说明'!P23),2,IF(AND(22&gt;='节点与说明'!O23-'节点与说明'!G23,22&lt;'节点与说明'!O23),1,"")))</x:f>
      </x:c>
      <x:c r="AD30" s="13" t="str">
        <x:f>IF(OR('节点与说明'!H23="不适用",23&gt;'时间线'!$C$9+1),"",IF(AND(23&gt;='节点与说明'!O23,23&lt;='节点与说明'!P23),2,IF(AND(23&gt;='节点与说明'!O23-'节点与说明'!G23,23&lt;'节点与说明'!O23),1,"")))</x:f>
      </x:c>
      <x:c r="AE30" s="13" t="str">
        <x:f>IF(OR('节点与说明'!H23="不适用",24&gt;'时间线'!$C$9+1),"",IF(AND(24&gt;='节点与说明'!O23,24&lt;='节点与说明'!P23),2,IF(AND(24&gt;='节点与说明'!O23-'节点与说明'!G23,24&lt;'节点与说明'!O23),1,"")))</x:f>
      </x:c>
      <x:c r="AF30" s="13" t="str">
        <x:f>IF(OR('节点与说明'!H23="不适用",25&gt;'时间线'!$C$9+1),"",IF(AND(25&gt;='节点与说明'!O23,25&lt;='节点与说明'!P23),2,IF(AND(25&gt;='节点与说明'!O23-'节点与说明'!G23,25&lt;'节点与说明'!O23),1,"")))</x:f>
      </x:c>
      <x:c r="AG30" s="13" t="str">
        <x:f>IF(OR('节点与说明'!H23="不适用",26&gt;'时间线'!$C$9+1),"",IF(AND(26&gt;='节点与说明'!O23,26&lt;='节点与说明'!P23),2,IF(AND(26&gt;='节点与说明'!O23-'节点与说明'!G23,26&lt;'节点与说明'!O23),1,"")))</x:f>
      </x:c>
      <x:c r="AH30" s="13" t="str">
        <x:f>IF(OR('节点与说明'!H23="不适用",27&gt;'时间线'!$C$9+1),"",IF(AND(27&gt;='节点与说明'!O23,27&lt;='节点与说明'!P23),2,IF(AND(27&gt;='节点与说明'!O23-'节点与说明'!G23,27&lt;'节点与说明'!O23),1,"")))</x:f>
      </x:c>
      <x:c r="AI30" s="13" t="str">
        <x:f>IF(OR('节点与说明'!H23="不适用",28&gt;'时间线'!$C$9+1),"",IF(AND(28&gt;='节点与说明'!O23,28&lt;='节点与说明'!P23),2,IF(AND(28&gt;='节点与说明'!O23-'节点与说明'!G23,28&lt;'节点与说明'!O23),1,"")))</x:f>
      </x:c>
      <x:c r="AJ30" s="13" t="n">
        <x:f>IF(OR('节点与说明'!H23="不适用",29&gt;'时间线'!$C$9+1),"",IF(AND(29&gt;='节点与说明'!O23,29&lt;='节点与说明'!P23),2,IF(AND(29&gt;='节点与说明'!O23-'节点与说明'!G23,29&lt;'节点与说明'!O23),1,"")))</x:f>
        <x:v>1</x:v>
      </x:c>
      <x:c r="AK30" s="13" t="n">
        <x:f>IF(OR('节点与说明'!H23="不适用",30&gt;'时间线'!$C$9+1),"",IF(AND(30&gt;='节点与说明'!O23,30&lt;='节点与说明'!P23),2,IF(AND(30&gt;='节点与说明'!O23-'节点与说明'!G23,30&lt;'节点与说明'!O23),1,"")))</x:f>
        <x:v>2</x:v>
      </x:c>
      <x:c r="AL30" s="13" t="n">
        <x:f>IF(OR('节点与说明'!H23="不适用",31&gt;'时间线'!$C$9+1),"",IF(AND(31&gt;='节点与说明'!O23,31&lt;='节点与说明'!P23),2,IF(AND(31&gt;='节点与说明'!O23-'节点与说明'!G23,31&lt;'节点与说明'!O23),1,"")))</x:f>
        <x:v>2</x:v>
      </x:c>
      <x:c r="AM30" s="13" t="str">
        <x:f>IF(OR('节点与说明'!H23="不适用",32&gt;'时间线'!$C$9+1),"",IF(AND(32&gt;='节点与说明'!O23,32&lt;='节点与说明'!P23),2,IF(AND(32&gt;='节点与说明'!O23-'节点与说明'!G23,32&lt;'节点与说明'!O23),1,"")))</x:f>
      </x:c>
      <x:c r="AN30" s="13" t="str">
        <x:f>IF(OR('节点与说明'!H23="不适用",33&gt;'时间线'!$C$9+1),"",IF(AND(33&gt;='节点与说明'!O23,33&lt;='节点与说明'!P23),2,IF(AND(33&gt;='节点与说明'!O23-'节点与说明'!G23,33&lt;'节点与说明'!O23),1,"")))</x:f>
      </x:c>
      <x:c r="AO30" s="13" t="str">
        <x:f>IF(OR('节点与说明'!H23="不适用",34&gt;'时间线'!$C$9+1),"",IF(AND(34&gt;='节点与说明'!O23,34&lt;='节点与说明'!P23),2,IF(AND(34&gt;='节点与说明'!O23-'节点与说明'!G23,34&lt;'节点与说明'!O23),1,"")))</x:f>
      </x:c>
      <x:c r="AP30" s="13" t="str">
        <x:f>IF(OR('节点与说明'!H23="不适用",35&gt;'时间线'!$C$9+1),"",IF(AND(35&gt;='节点与说明'!O23,35&lt;='节点与说明'!P23),2,IF(AND(35&gt;='节点与说明'!O23-'节点与说明'!G23,35&lt;'节点与说明'!O23),1,"")))</x:f>
      </x:c>
      <x:c r="AQ30" s="2"/>
      <x:c r="AR30" s="11" t="str">
        <x:f>'节点与说明'!N23</x:f>
        <x:v>建议按学院常规周期再留2–4周机动；先确认是否属于学位办送审类别。</x:v>
      </x:c>
    </x:row>
    <x:row r="31" ht="38" customHeight="1">
      <x:c r="A31" s="2" t="str">
        <x:f>'节点与说明'!A24</x:f>
        <x:v>A14</x:v>
      </x:c>
      <x:c r="B31" s="15" t="str">
        <x:f>'节点与说明'!B24</x:f>
        <x:v>培养</x:v>
      </x:c>
      <x:c r="C31" s="11" t="str">
        <x:f>'节点与说明'!C24</x:f>
        <x:v>评阅意见处理与答辩审批</x:v>
      </x:c>
      <x:c r="D31" s="2" t="str">
        <x:f>'节点与说明'!H24</x:f>
        <x:v>待确认</x:v>
      </x:c>
      <x:c r="E31" s="2" t="n">
        <x:f>'节点与说明'!G24</x:f>
        <x:v>0</x:v>
      </x:c>
      <x:c r="F31" s="2" t="str">
        <x:f>'节点与说明'!S24</x:f>
        <x:v>研3·4月</x:v>
      </x:c>
      <x:c r="G31" s="13" t="str">
        <x:f>IF(OR('节点与说明'!H24="不适用",0&gt;'时间线'!$C$9+1),"",IF(AND(0&gt;='节点与说明'!O24,0&lt;='节点与说明'!P24),2,IF(AND(0&gt;='节点与说明'!O24-'节点与说明'!G24,0&lt;'节点与说明'!O24),1,"")))</x:f>
      </x:c>
      <x:c r="H31" s="13" t="str">
        <x:f>IF(OR('节点与说明'!H24="不适用",1&gt;'时间线'!$C$9+1),"",IF(AND(1&gt;='节点与说明'!O24,1&lt;='节点与说明'!P24),2,IF(AND(1&gt;='节点与说明'!O24-'节点与说明'!G24,1&lt;'节点与说明'!O24),1,"")))</x:f>
      </x:c>
      <x:c r="I31" s="13" t="str">
        <x:f>IF(OR('节点与说明'!H24="不适用",2&gt;'时间线'!$C$9+1),"",IF(AND(2&gt;='节点与说明'!O24,2&lt;='节点与说明'!P24),2,IF(AND(2&gt;='节点与说明'!O24-'节点与说明'!G24,2&lt;'节点与说明'!O24),1,"")))</x:f>
      </x:c>
      <x:c r="J31" s="13" t="str">
        <x:f>IF(OR('节点与说明'!H24="不适用",3&gt;'时间线'!$C$9+1),"",IF(AND(3&gt;='节点与说明'!O24,3&lt;='节点与说明'!P24),2,IF(AND(3&gt;='节点与说明'!O24-'节点与说明'!G24,3&lt;'节点与说明'!O24),1,"")))</x:f>
      </x:c>
      <x:c r="K31" s="13" t="str">
        <x:f>IF(OR('节点与说明'!H24="不适用",4&gt;'时间线'!$C$9+1),"",IF(AND(4&gt;='节点与说明'!O24,4&lt;='节点与说明'!P24),2,IF(AND(4&gt;='节点与说明'!O24-'节点与说明'!G24,4&lt;'节点与说明'!O24),1,"")))</x:f>
      </x:c>
      <x:c r="L31" s="13" t="str">
        <x:f>IF(OR('节点与说明'!H24="不适用",5&gt;'时间线'!$C$9+1),"",IF(AND(5&gt;='节点与说明'!O24,5&lt;='节点与说明'!P24),2,IF(AND(5&gt;='节点与说明'!O24-'节点与说明'!G24,5&lt;'节点与说明'!O24),1,"")))</x:f>
      </x:c>
      <x:c r="M31" s="13" t="str">
        <x:f>IF(OR('节点与说明'!H24="不适用",6&gt;'时间线'!$C$9+1),"",IF(AND(6&gt;='节点与说明'!O24,6&lt;='节点与说明'!P24),2,IF(AND(6&gt;='节点与说明'!O24-'节点与说明'!G24,6&lt;'节点与说明'!O24),1,"")))</x:f>
      </x:c>
      <x:c r="N31" s="13" t="str">
        <x:f>IF(OR('节点与说明'!H24="不适用",7&gt;'时间线'!$C$9+1),"",IF(AND(7&gt;='节点与说明'!O24,7&lt;='节点与说明'!P24),2,IF(AND(7&gt;='节点与说明'!O24-'节点与说明'!G24,7&lt;'节点与说明'!O24),1,"")))</x:f>
      </x:c>
      <x:c r="O31" s="13" t="str">
        <x:f>IF(OR('节点与说明'!H24="不适用",8&gt;'时间线'!$C$9+1),"",IF(AND(8&gt;='节点与说明'!O24,8&lt;='节点与说明'!P24),2,IF(AND(8&gt;='节点与说明'!O24-'节点与说明'!G24,8&lt;'节点与说明'!O24),1,"")))</x:f>
      </x:c>
      <x:c r="P31" s="13" t="str">
        <x:f>IF(OR('节点与说明'!H24="不适用",9&gt;'时间线'!$C$9+1),"",IF(AND(9&gt;='节点与说明'!O24,9&lt;='节点与说明'!P24),2,IF(AND(9&gt;='节点与说明'!O24-'节点与说明'!G24,9&lt;'节点与说明'!O24),1,"")))</x:f>
      </x:c>
      <x:c r="Q31" s="13" t="str">
        <x:f>IF(OR('节点与说明'!H24="不适用",10&gt;'时间线'!$C$9+1),"",IF(AND(10&gt;='节点与说明'!O24,10&lt;='节点与说明'!P24),2,IF(AND(10&gt;='节点与说明'!O24-'节点与说明'!G24,10&lt;'节点与说明'!O24),1,"")))</x:f>
      </x:c>
      <x:c r="R31" s="13" t="str">
        <x:f>IF(OR('节点与说明'!H24="不适用",11&gt;'时间线'!$C$9+1),"",IF(AND(11&gt;='节点与说明'!O24,11&lt;='节点与说明'!P24),2,IF(AND(11&gt;='节点与说明'!O24-'节点与说明'!G24,11&lt;'节点与说明'!O24),1,"")))</x:f>
      </x:c>
      <x:c r="S31" s="13" t="str">
        <x:f>IF(OR('节点与说明'!H24="不适用",12&gt;'时间线'!$C$9+1),"",IF(AND(12&gt;='节点与说明'!O24,12&lt;='节点与说明'!P24),2,IF(AND(12&gt;='节点与说明'!O24-'节点与说明'!G24,12&lt;'节点与说明'!O24),1,"")))</x:f>
      </x:c>
      <x:c r="T31" s="13" t="str">
        <x:f>IF(OR('节点与说明'!H24="不适用",13&gt;'时间线'!$C$9+1),"",IF(AND(13&gt;='节点与说明'!O24,13&lt;='节点与说明'!P24),2,IF(AND(13&gt;='节点与说明'!O24-'节点与说明'!G24,13&lt;'节点与说明'!O24),1,"")))</x:f>
      </x:c>
      <x:c r="U31" s="13" t="str">
        <x:f>IF(OR('节点与说明'!H24="不适用",14&gt;'时间线'!$C$9+1),"",IF(AND(14&gt;='节点与说明'!O24,14&lt;='节点与说明'!P24),2,IF(AND(14&gt;='节点与说明'!O24-'节点与说明'!G24,14&lt;'节点与说明'!O24),1,"")))</x:f>
      </x:c>
      <x:c r="V31" s="13" t="str">
        <x:f>IF(OR('节点与说明'!H24="不适用",15&gt;'时间线'!$C$9+1),"",IF(AND(15&gt;='节点与说明'!O24,15&lt;='节点与说明'!P24),2,IF(AND(15&gt;='节点与说明'!O24-'节点与说明'!G24,15&lt;'节点与说明'!O24),1,"")))</x:f>
      </x:c>
      <x:c r="W31" s="13" t="str">
        <x:f>IF(OR('节点与说明'!H24="不适用",16&gt;'时间线'!$C$9+1),"",IF(AND(16&gt;='节点与说明'!O24,16&lt;='节点与说明'!P24),2,IF(AND(16&gt;='节点与说明'!O24-'节点与说明'!G24,16&lt;'节点与说明'!O24),1,"")))</x:f>
      </x:c>
      <x:c r="X31" s="13" t="str">
        <x:f>IF(OR('节点与说明'!H24="不适用",17&gt;'时间线'!$C$9+1),"",IF(AND(17&gt;='节点与说明'!O24,17&lt;='节点与说明'!P24),2,IF(AND(17&gt;='节点与说明'!O24-'节点与说明'!G24,17&lt;'节点与说明'!O24),1,"")))</x:f>
      </x:c>
      <x:c r="Y31" s="13" t="str">
        <x:f>IF(OR('节点与说明'!H24="不适用",18&gt;'时间线'!$C$9+1),"",IF(AND(18&gt;='节点与说明'!O24,18&lt;='节点与说明'!P24),2,IF(AND(18&gt;='节点与说明'!O24-'节点与说明'!G24,18&lt;'节点与说明'!O24),1,"")))</x:f>
      </x:c>
      <x:c r="Z31" s="13" t="str">
        <x:f>IF(OR('节点与说明'!H24="不适用",19&gt;'时间线'!$C$9+1),"",IF(AND(19&gt;='节点与说明'!O24,19&lt;='节点与说明'!P24),2,IF(AND(19&gt;='节点与说明'!O24-'节点与说明'!G24,19&lt;'节点与说明'!O24),1,"")))</x:f>
      </x:c>
      <x:c r="AA31" s="13" t="str">
        <x:f>IF(OR('节点与说明'!H24="不适用",20&gt;'时间线'!$C$9+1),"",IF(AND(20&gt;='节点与说明'!O24,20&lt;='节点与说明'!P24),2,IF(AND(20&gt;='节点与说明'!O24-'节点与说明'!G24,20&lt;'节点与说明'!O24),1,"")))</x:f>
      </x:c>
      <x:c r="AB31" s="13" t="str">
        <x:f>IF(OR('节点与说明'!H24="不适用",21&gt;'时间线'!$C$9+1),"",IF(AND(21&gt;='节点与说明'!O24,21&lt;='节点与说明'!P24),2,IF(AND(21&gt;='节点与说明'!O24-'节点与说明'!G24,21&lt;'节点与说明'!O24),1,"")))</x:f>
      </x:c>
      <x:c r="AC31" s="13" t="str">
        <x:f>IF(OR('节点与说明'!H24="不适用",22&gt;'时间线'!$C$9+1),"",IF(AND(22&gt;='节点与说明'!O24,22&lt;='节点与说明'!P24),2,IF(AND(22&gt;='节点与说明'!O24-'节点与说明'!G24,22&lt;'节点与说明'!O24),1,"")))</x:f>
      </x:c>
      <x:c r="AD31" s="13" t="str">
        <x:f>IF(OR('节点与说明'!H24="不适用",23&gt;'时间线'!$C$9+1),"",IF(AND(23&gt;='节点与说明'!O24,23&lt;='节点与说明'!P24),2,IF(AND(23&gt;='节点与说明'!O24-'节点与说明'!G24,23&lt;'节点与说明'!O24),1,"")))</x:f>
      </x:c>
      <x:c r="AE31" s="13" t="str">
        <x:f>IF(OR('节点与说明'!H24="不适用",24&gt;'时间线'!$C$9+1),"",IF(AND(24&gt;='节点与说明'!O24,24&lt;='节点与说明'!P24),2,IF(AND(24&gt;='节点与说明'!O24-'节点与说明'!G24,24&lt;'节点与说明'!O24),1,"")))</x:f>
      </x:c>
      <x:c r="AF31" s="13" t="str">
        <x:f>IF(OR('节点与说明'!H24="不适用",25&gt;'时间线'!$C$9+1),"",IF(AND(25&gt;='节点与说明'!O24,25&lt;='节点与说明'!P24),2,IF(AND(25&gt;='节点与说明'!O24-'节点与说明'!G24,25&lt;'节点与说明'!O24),1,"")))</x:f>
      </x:c>
      <x:c r="AG31" s="13" t="str">
        <x:f>IF(OR('节点与说明'!H24="不适用",26&gt;'时间线'!$C$9+1),"",IF(AND(26&gt;='节点与说明'!O24,26&lt;='节点与说明'!P24),2,IF(AND(26&gt;='节点与说明'!O24-'节点与说明'!G24,26&lt;'节点与说明'!O24),1,"")))</x:f>
      </x:c>
      <x:c r="AH31" s="13" t="str">
        <x:f>IF(OR('节点与说明'!H24="不适用",27&gt;'时间线'!$C$9+1),"",IF(AND(27&gt;='节点与说明'!O24,27&lt;='节点与说明'!P24),2,IF(AND(27&gt;='节点与说明'!O24-'节点与说明'!G24,27&lt;'节点与说明'!O24),1,"")))</x:f>
      </x:c>
      <x:c r="AI31" s="13" t="str">
        <x:f>IF(OR('节点与说明'!H24="不适用",28&gt;'时间线'!$C$9+1),"",IF(AND(28&gt;='节点与说明'!O24,28&lt;='节点与说明'!P24),2,IF(AND(28&gt;='节点与说明'!O24-'节点与说明'!G24,28&lt;'节点与说明'!O24),1,"")))</x:f>
      </x:c>
      <x:c r="AJ31" s="13" t="str">
        <x:f>IF(OR('节点与说明'!H24="不适用",29&gt;'时间线'!$C$9+1),"",IF(AND(29&gt;='节点与说明'!O24,29&lt;='节点与说明'!P24),2,IF(AND(29&gt;='节点与说明'!O24-'节点与说明'!G24,29&lt;'节点与说明'!O24),1,"")))</x:f>
      </x:c>
      <x:c r="AK31" s="13" t="str">
        <x:f>IF(OR('节点与说明'!H24="不适用",30&gt;'时间线'!$C$9+1),"",IF(AND(30&gt;='节点与说明'!O24,30&lt;='节点与说明'!P24),2,IF(AND(30&gt;='节点与说明'!O24-'节点与说明'!G24,30&lt;'节点与说明'!O24),1,"")))</x:f>
      </x:c>
      <x:c r="AL31" s="13" t="n">
        <x:f>IF(OR('节点与说明'!H24="不适用",31&gt;'时间线'!$C$9+1),"",IF(AND(31&gt;='节点与说明'!O24,31&lt;='节点与说明'!P24),2,IF(AND(31&gt;='节点与说明'!O24-'节点与说明'!G24,31&lt;'节点与说明'!O24),1,"")))</x:f>
        <x:v>2</x:v>
      </x:c>
      <x:c r="AM31" s="13" t="n">
        <x:f>IF(OR('节点与说明'!H24="不适用",32&gt;'时间线'!$C$9+1),"",IF(AND(32&gt;='节点与说明'!O24,32&lt;='节点与说明'!P24),2,IF(AND(32&gt;='节点与说明'!O24-'节点与说明'!G24,32&lt;'节点与说明'!O24),1,"")))</x:f>
        <x:v>2</x:v>
      </x:c>
      <x:c r="AN31" s="13" t="str">
        <x:f>IF(OR('节点与说明'!H24="不适用",33&gt;'时间线'!$C$9+1),"",IF(AND(33&gt;='节点与说明'!O24,33&lt;='节点与说明'!P24),2,IF(AND(33&gt;='节点与说明'!O24-'节点与说明'!G24,33&lt;'节点与说明'!O24),1,"")))</x:f>
      </x:c>
      <x:c r="AO31" s="13" t="str">
        <x:f>IF(OR('节点与说明'!H24="不适用",34&gt;'时间线'!$C$9+1),"",IF(AND(34&gt;='节点与说明'!O24,34&lt;='节点与说明'!P24),2,IF(AND(34&gt;='节点与说明'!O24-'节点与说明'!G24,34&lt;'节点与说明'!O24),1,"")))</x:f>
      </x:c>
      <x:c r="AP31" s="13" t="str">
        <x:f>IF(OR('节点与说明'!H24="不适用",35&gt;'时间线'!$C$9+1),"",IF(AND(35&gt;='节点与说明'!O24,35&lt;='节点与说明'!P24),2,IF(AND(35&gt;='节点与说明'!O24-'节点与说明'!G24,35&lt;'节点与说明'!O24),1,"")))</x:f>
      </x:c>
      <x:c r="AQ31" s="2"/>
      <x:c r="AR31" s="11" t="str">
        <x:f>'节点与说明'!N24</x:f>
        <x:v>收到反馈当天分类问题，与导师确认是否需复审和最早可答辩时间。</x:v>
      </x:c>
    </x:row>
    <x:row r="32" ht="38" customHeight="1">
      <x:c r="A32" s="2" t="str">
        <x:f>'节点与说明'!A25</x:f>
        <x:v>A15</x:v>
      </x:c>
      <x:c r="B32" s="15" t="str">
        <x:f>'节点与说明'!B25</x:f>
        <x:v>培养</x:v>
      </x:c>
      <x:c r="C32" s="11" t="str">
        <x:f>'节点与说明'!C25</x:f>
        <x:v>正式答辩</x:v>
      </x:c>
      <x:c r="D32" s="2" t="str">
        <x:f>'节点与说明'!H25</x:f>
        <x:v>待确认</x:v>
      </x:c>
      <x:c r="E32" s="2" t="n">
        <x:f>'节点与说明'!G25</x:f>
        <x:v>1</x:v>
      </x:c>
      <x:c r="F32" s="2" t="str">
        <x:f>'节点与说明'!S25</x:f>
        <x:v>研3·4月</x:v>
      </x:c>
      <x:c r="G32" s="13" t="str">
        <x:f>IF(OR('节点与说明'!H25="不适用",0&gt;'时间线'!$C$9+1),"",IF(AND(0&gt;='节点与说明'!O25,0&lt;='节点与说明'!P25),2,IF(AND(0&gt;='节点与说明'!O25-'节点与说明'!G25,0&lt;'节点与说明'!O25),1,"")))</x:f>
      </x:c>
      <x:c r="H32" s="13" t="str">
        <x:f>IF(OR('节点与说明'!H25="不适用",1&gt;'时间线'!$C$9+1),"",IF(AND(1&gt;='节点与说明'!O25,1&lt;='节点与说明'!P25),2,IF(AND(1&gt;='节点与说明'!O25-'节点与说明'!G25,1&lt;'节点与说明'!O25),1,"")))</x:f>
      </x:c>
      <x:c r="I32" s="13" t="str">
        <x:f>IF(OR('节点与说明'!H25="不适用",2&gt;'时间线'!$C$9+1),"",IF(AND(2&gt;='节点与说明'!O25,2&lt;='节点与说明'!P25),2,IF(AND(2&gt;='节点与说明'!O25-'节点与说明'!G25,2&lt;'节点与说明'!O25),1,"")))</x:f>
      </x:c>
      <x:c r="J32" s="13" t="str">
        <x:f>IF(OR('节点与说明'!H25="不适用",3&gt;'时间线'!$C$9+1),"",IF(AND(3&gt;='节点与说明'!O25,3&lt;='节点与说明'!P25),2,IF(AND(3&gt;='节点与说明'!O25-'节点与说明'!G25,3&lt;'节点与说明'!O25),1,"")))</x:f>
      </x:c>
      <x:c r="K32" s="13" t="str">
        <x:f>IF(OR('节点与说明'!H25="不适用",4&gt;'时间线'!$C$9+1),"",IF(AND(4&gt;='节点与说明'!O25,4&lt;='节点与说明'!P25),2,IF(AND(4&gt;='节点与说明'!O25-'节点与说明'!G25,4&lt;'节点与说明'!O25),1,"")))</x:f>
      </x:c>
      <x:c r="L32" s="13" t="str">
        <x:f>IF(OR('节点与说明'!H25="不适用",5&gt;'时间线'!$C$9+1),"",IF(AND(5&gt;='节点与说明'!O25,5&lt;='节点与说明'!P25),2,IF(AND(5&gt;='节点与说明'!O25-'节点与说明'!G25,5&lt;'节点与说明'!O25),1,"")))</x:f>
      </x:c>
      <x:c r="M32" s="13" t="str">
        <x:f>IF(OR('节点与说明'!H25="不适用",6&gt;'时间线'!$C$9+1),"",IF(AND(6&gt;='节点与说明'!O25,6&lt;='节点与说明'!P25),2,IF(AND(6&gt;='节点与说明'!O25-'节点与说明'!G25,6&lt;'节点与说明'!O25),1,"")))</x:f>
      </x:c>
      <x:c r="N32" s="13" t="str">
        <x:f>IF(OR('节点与说明'!H25="不适用",7&gt;'时间线'!$C$9+1),"",IF(AND(7&gt;='节点与说明'!O25,7&lt;='节点与说明'!P25),2,IF(AND(7&gt;='节点与说明'!O25-'节点与说明'!G25,7&lt;'节点与说明'!O25),1,"")))</x:f>
      </x:c>
      <x:c r="O32" s="13" t="str">
        <x:f>IF(OR('节点与说明'!H25="不适用",8&gt;'时间线'!$C$9+1),"",IF(AND(8&gt;='节点与说明'!O25,8&lt;='节点与说明'!P25),2,IF(AND(8&gt;='节点与说明'!O25-'节点与说明'!G25,8&lt;'节点与说明'!O25),1,"")))</x:f>
      </x:c>
      <x:c r="P32" s="13" t="str">
        <x:f>IF(OR('节点与说明'!H25="不适用",9&gt;'时间线'!$C$9+1),"",IF(AND(9&gt;='节点与说明'!O25,9&lt;='节点与说明'!P25),2,IF(AND(9&gt;='节点与说明'!O25-'节点与说明'!G25,9&lt;'节点与说明'!O25),1,"")))</x:f>
      </x:c>
      <x:c r="Q32" s="13" t="str">
        <x:f>IF(OR('节点与说明'!H25="不适用",10&gt;'时间线'!$C$9+1),"",IF(AND(10&gt;='节点与说明'!O25,10&lt;='节点与说明'!P25),2,IF(AND(10&gt;='节点与说明'!O25-'节点与说明'!G25,10&lt;'节点与说明'!O25),1,"")))</x:f>
      </x:c>
      <x:c r="R32" s="13" t="str">
        <x:f>IF(OR('节点与说明'!H25="不适用",11&gt;'时间线'!$C$9+1),"",IF(AND(11&gt;='节点与说明'!O25,11&lt;='节点与说明'!P25),2,IF(AND(11&gt;='节点与说明'!O25-'节点与说明'!G25,11&lt;'节点与说明'!O25),1,"")))</x:f>
      </x:c>
      <x:c r="S32" s="13" t="str">
        <x:f>IF(OR('节点与说明'!H25="不适用",12&gt;'时间线'!$C$9+1),"",IF(AND(12&gt;='节点与说明'!O25,12&lt;='节点与说明'!P25),2,IF(AND(12&gt;='节点与说明'!O25-'节点与说明'!G25,12&lt;'节点与说明'!O25),1,"")))</x:f>
      </x:c>
      <x:c r="T32" s="13" t="str">
        <x:f>IF(OR('节点与说明'!H25="不适用",13&gt;'时间线'!$C$9+1),"",IF(AND(13&gt;='节点与说明'!O25,13&lt;='节点与说明'!P25),2,IF(AND(13&gt;='节点与说明'!O25-'节点与说明'!G25,13&lt;'节点与说明'!O25),1,"")))</x:f>
      </x:c>
      <x:c r="U32" s="13" t="str">
        <x:f>IF(OR('节点与说明'!H25="不适用",14&gt;'时间线'!$C$9+1),"",IF(AND(14&gt;='节点与说明'!O25,14&lt;='节点与说明'!P25),2,IF(AND(14&gt;='节点与说明'!O25-'节点与说明'!G25,14&lt;'节点与说明'!O25),1,"")))</x:f>
      </x:c>
      <x:c r="V32" s="13" t="str">
        <x:f>IF(OR('节点与说明'!H25="不适用",15&gt;'时间线'!$C$9+1),"",IF(AND(15&gt;='节点与说明'!O25,15&lt;='节点与说明'!P25),2,IF(AND(15&gt;='节点与说明'!O25-'节点与说明'!G25,15&lt;'节点与说明'!O25),1,"")))</x:f>
      </x:c>
      <x:c r="W32" s="13" t="str">
        <x:f>IF(OR('节点与说明'!H25="不适用",16&gt;'时间线'!$C$9+1),"",IF(AND(16&gt;='节点与说明'!O25,16&lt;='节点与说明'!P25),2,IF(AND(16&gt;='节点与说明'!O25-'节点与说明'!G25,16&lt;'节点与说明'!O25),1,"")))</x:f>
      </x:c>
      <x:c r="X32" s="13" t="str">
        <x:f>IF(OR('节点与说明'!H25="不适用",17&gt;'时间线'!$C$9+1),"",IF(AND(17&gt;='节点与说明'!O25,17&lt;='节点与说明'!P25),2,IF(AND(17&gt;='节点与说明'!O25-'节点与说明'!G25,17&lt;'节点与说明'!O25),1,"")))</x:f>
      </x:c>
      <x:c r="Y32" s="13" t="str">
        <x:f>IF(OR('节点与说明'!H25="不适用",18&gt;'时间线'!$C$9+1),"",IF(AND(18&gt;='节点与说明'!O25,18&lt;='节点与说明'!P25),2,IF(AND(18&gt;='节点与说明'!O25-'节点与说明'!G25,18&lt;'节点与说明'!O25),1,"")))</x:f>
      </x:c>
      <x:c r="Z32" s="13" t="str">
        <x:f>IF(OR('节点与说明'!H25="不适用",19&gt;'时间线'!$C$9+1),"",IF(AND(19&gt;='节点与说明'!O25,19&lt;='节点与说明'!P25),2,IF(AND(19&gt;='节点与说明'!O25-'节点与说明'!G25,19&lt;'节点与说明'!O25),1,"")))</x:f>
      </x:c>
      <x:c r="AA32" s="13" t="str">
        <x:f>IF(OR('节点与说明'!H25="不适用",20&gt;'时间线'!$C$9+1),"",IF(AND(20&gt;='节点与说明'!O25,20&lt;='节点与说明'!P25),2,IF(AND(20&gt;='节点与说明'!O25-'节点与说明'!G25,20&lt;'节点与说明'!O25),1,"")))</x:f>
      </x:c>
      <x:c r="AB32" s="13" t="str">
        <x:f>IF(OR('节点与说明'!H25="不适用",21&gt;'时间线'!$C$9+1),"",IF(AND(21&gt;='节点与说明'!O25,21&lt;='节点与说明'!P25),2,IF(AND(21&gt;='节点与说明'!O25-'节点与说明'!G25,21&lt;'节点与说明'!O25),1,"")))</x:f>
      </x:c>
      <x:c r="AC32" s="13" t="str">
        <x:f>IF(OR('节点与说明'!H25="不适用",22&gt;'时间线'!$C$9+1),"",IF(AND(22&gt;='节点与说明'!O25,22&lt;='节点与说明'!P25),2,IF(AND(22&gt;='节点与说明'!O25-'节点与说明'!G25,22&lt;'节点与说明'!O25),1,"")))</x:f>
      </x:c>
      <x:c r="AD32" s="13" t="str">
        <x:f>IF(OR('节点与说明'!H25="不适用",23&gt;'时间线'!$C$9+1),"",IF(AND(23&gt;='节点与说明'!O25,23&lt;='节点与说明'!P25),2,IF(AND(23&gt;='节点与说明'!O25-'节点与说明'!G25,23&lt;'节点与说明'!O25),1,"")))</x:f>
      </x:c>
      <x:c r="AE32" s="13" t="str">
        <x:f>IF(OR('节点与说明'!H25="不适用",24&gt;'时间线'!$C$9+1),"",IF(AND(24&gt;='节点与说明'!O25,24&lt;='节点与说明'!P25),2,IF(AND(24&gt;='节点与说明'!O25-'节点与说明'!G25,24&lt;'节点与说明'!O25),1,"")))</x:f>
      </x:c>
      <x:c r="AF32" s="13" t="str">
        <x:f>IF(OR('节点与说明'!H25="不适用",25&gt;'时间线'!$C$9+1),"",IF(AND(25&gt;='节点与说明'!O25,25&lt;='节点与说明'!P25),2,IF(AND(25&gt;='节点与说明'!O25-'节点与说明'!G25,25&lt;'节点与说明'!O25),1,"")))</x:f>
      </x:c>
      <x:c r="AG32" s="13" t="str">
        <x:f>IF(OR('节点与说明'!H25="不适用",26&gt;'时间线'!$C$9+1),"",IF(AND(26&gt;='节点与说明'!O25,26&lt;='节点与说明'!P25),2,IF(AND(26&gt;='节点与说明'!O25-'节点与说明'!G25,26&lt;'节点与说明'!O25),1,"")))</x:f>
      </x:c>
      <x:c r="AH32" s="13" t="str">
        <x:f>IF(OR('节点与说明'!H25="不适用",27&gt;'时间线'!$C$9+1),"",IF(AND(27&gt;='节点与说明'!O25,27&lt;='节点与说明'!P25),2,IF(AND(27&gt;='节点与说明'!O25-'节点与说明'!G25,27&lt;'节点与说明'!O25),1,"")))</x:f>
      </x:c>
      <x:c r="AI32" s="13" t="str">
        <x:f>IF(OR('节点与说明'!H25="不适用",28&gt;'时间线'!$C$9+1),"",IF(AND(28&gt;='节点与说明'!O25,28&lt;='节点与说明'!P25),2,IF(AND(28&gt;='节点与说明'!O25-'节点与说明'!G25,28&lt;'节点与说明'!O25),1,"")))</x:f>
      </x:c>
      <x:c r="AJ32" s="13" t="str">
        <x:f>IF(OR('节点与说明'!H25="不适用",29&gt;'时间线'!$C$9+1),"",IF(AND(29&gt;='节点与说明'!O25,29&lt;='节点与说明'!P25),2,IF(AND(29&gt;='节点与说明'!O25-'节点与说明'!G25,29&lt;'节点与说明'!O25),1,"")))</x:f>
      </x:c>
      <x:c r="AK32" s="13" t="str">
        <x:f>IF(OR('节点与说明'!H25="不适用",30&gt;'时间线'!$C$9+1),"",IF(AND(30&gt;='节点与说明'!O25,30&lt;='节点与说明'!P25),2,IF(AND(30&gt;='节点与说明'!O25-'节点与说明'!G25,30&lt;'节点与说明'!O25),1,"")))</x:f>
      </x:c>
      <x:c r="AL32" s="13" t="n">
        <x:f>IF(OR('节点与说明'!H25="不适用",31&gt;'时间线'!$C$9+1),"",IF(AND(31&gt;='节点与说明'!O25,31&lt;='节点与说明'!P25),2,IF(AND(31&gt;='节点与说明'!O25-'节点与说明'!G25,31&lt;'节点与说明'!O25),1,"")))</x:f>
        <x:v>1</x:v>
      </x:c>
      <x:c r="AM32" s="13" t="n">
        <x:f>IF(OR('节点与说明'!H25="不适用",32&gt;'时间线'!$C$9+1),"",IF(AND(32&gt;='节点与说明'!O25,32&lt;='节点与说明'!P25),2,IF(AND(32&gt;='节点与说明'!O25-'节点与说明'!G25,32&lt;'节点与说明'!O25),1,"")))</x:f>
        <x:v>2</x:v>
      </x:c>
      <x:c r="AN32" s="13" t="str">
        <x:f>IF(OR('节点与说明'!H25="不适用",33&gt;'时间线'!$C$9+1),"",IF(AND(33&gt;='节点与说明'!O25,33&lt;='节点与说明'!P25),2,IF(AND(33&gt;='节点与说明'!O25-'节点与说明'!G25,33&lt;'节点与说明'!O25),1,"")))</x:f>
      </x:c>
      <x:c r="AO32" s="13" t="str">
        <x:f>IF(OR('节点与说明'!H25="不适用",34&gt;'时间线'!$C$9+1),"",IF(AND(34&gt;='节点与说明'!O25,34&lt;='节点与说明'!P25),2,IF(AND(34&gt;='节点与说明'!O25-'节点与说明'!G25,34&lt;'节点与说明'!O25),1,"")))</x:f>
      </x:c>
      <x:c r="AP32" s="13" t="str">
        <x:f>IF(OR('节点与说明'!H25="不适用",35&gt;'时间线'!$C$9+1),"",IF(AND(35&gt;='节点与说明'!O25,35&lt;='节点与说明'!P25),2,IF(AND(35&gt;='节点与说明'!O25-'节点与说明'!G25,35&lt;'节点与说明'!O25),1,"")))</x:f>
      </x:c>
      <x:c r="AQ32" s="2"/>
      <x:c r="AR32" s="11" t="str">
        <x:f>'节点与说明'!N25</x:f>
        <x:v>提前2–3周模拟答辩；准备创新点、证据和局限的简洁说明。</x:v>
      </x:c>
    </x:row>
    <x:row r="33" ht="38" customHeight="1">
      <x:c r="A33" s="2" t="str">
        <x:f>'节点与说明'!A26</x:f>
        <x:v>A16</x:v>
      </x:c>
      <x:c r="B33" s="15" t="str">
        <x:f>'节点与说明'!B26</x:f>
        <x:v>培养</x:v>
      </x:c>
      <x:c r="C33" s="11" t="str">
        <x:f>'节点与说明'!C26</x:f>
        <x:v>答辩后修改与学位材料归档</x:v>
      </x:c>
      <x:c r="D33" s="2" t="str">
        <x:f>'节点与说明'!H26</x:f>
        <x:v>待确认</x:v>
      </x:c>
      <x:c r="E33" s="2" t="n">
        <x:f>'节点与说明'!G26</x:f>
        <x:v>0</x:v>
      </x:c>
      <x:c r="F33" s="2" t="str">
        <x:f>'节点与说明'!S26</x:f>
        <x:v>研3·5月</x:v>
      </x:c>
      <x:c r="G33" s="13" t="str">
        <x:f>IF(OR('节点与说明'!H26="不适用",0&gt;'时间线'!$C$9+1),"",IF(AND(0&gt;='节点与说明'!O26,0&lt;='节点与说明'!P26),2,IF(AND(0&gt;='节点与说明'!O26-'节点与说明'!G26,0&lt;'节点与说明'!O26),1,"")))</x:f>
      </x:c>
      <x:c r="H33" s="13" t="str">
        <x:f>IF(OR('节点与说明'!H26="不适用",1&gt;'时间线'!$C$9+1),"",IF(AND(1&gt;='节点与说明'!O26,1&lt;='节点与说明'!P26),2,IF(AND(1&gt;='节点与说明'!O26-'节点与说明'!G26,1&lt;'节点与说明'!O26),1,"")))</x:f>
      </x:c>
      <x:c r="I33" s="13" t="str">
        <x:f>IF(OR('节点与说明'!H26="不适用",2&gt;'时间线'!$C$9+1),"",IF(AND(2&gt;='节点与说明'!O26,2&lt;='节点与说明'!P26),2,IF(AND(2&gt;='节点与说明'!O26-'节点与说明'!G26,2&lt;'节点与说明'!O26),1,"")))</x:f>
      </x:c>
      <x:c r="J33" s="13" t="str">
        <x:f>IF(OR('节点与说明'!H26="不适用",3&gt;'时间线'!$C$9+1),"",IF(AND(3&gt;='节点与说明'!O26,3&lt;='节点与说明'!P26),2,IF(AND(3&gt;='节点与说明'!O26-'节点与说明'!G26,3&lt;'节点与说明'!O26),1,"")))</x:f>
      </x:c>
      <x:c r="K33" s="13" t="str">
        <x:f>IF(OR('节点与说明'!H26="不适用",4&gt;'时间线'!$C$9+1),"",IF(AND(4&gt;='节点与说明'!O26,4&lt;='节点与说明'!P26),2,IF(AND(4&gt;='节点与说明'!O26-'节点与说明'!G26,4&lt;'节点与说明'!O26),1,"")))</x:f>
      </x:c>
      <x:c r="L33" s="13" t="str">
        <x:f>IF(OR('节点与说明'!H26="不适用",5&gt;'时间线'!$C$9+1),"",IF(AND(5&gt;='节点与说明'!O26,5&lt;='节点与说明'!P26),2,IF(AND(5&gt;='节点与说明'!O26-'节点与说明'!G26,5&lt;'节点与说明'!O26),1,"")))</x:f>
      </x:c>
      <x:c r="M33" s="13" t="str">
        <x:f>IF(OR('节点与说明'!H26="不适用",6&gt;'时间线'!$C$9+1),"",IF(AND(6&gt;='节点与说明'!O26,6&lt;='节点与说明'!P26),2,IF(AND(6&gt;='节点与说明'!O26-'节点与说明'!G26,6&lt;'节点与说明'!O26),1,"")))</x:f>
      </x:c>
      <x:c r="N33" s="13" t="str">
        <x:f>IF(OR('节点与说明'!H26="不适用",7&gt;'时间线'!$C$9+1),"",IF(AND(7&gt;='节点与说明'!O26,7&lt;='节点与说明'!P26),2,IF(AND(7&gt;='节点与说明'!O26-'节点与说明'!G26,7&lt;'节点与说明'!O26),1,"")))</x:f>
      </x:c>
      <x:c r="O33" s="13" t="str">
        <x:f>IF(OR('节点与说明'!H26="不适用",8&gt;'时间线'!$C$9+1),"",IF(AND(8&gt;='节点与说明'!O26,8&lt;='节点与说明'!P26),2,IF(AND(8&gt;='节点与说明'!O26-'节点与说明'!G26,8&lt;'节点与说明'!O26),1,"")))</x:f>
      </x:c>
      <x:c r="P33" s="13" t="str">
        <x:f>IF(OR('节点与说明'!H26="不适用",9&gt;'时间线'!$C$9+1),"",IF(AND(9&gt;='节点与说明'!O26,9&lt;='节点与说明'!P26),2,IF(AND(9&gt;='节点与说明'!O26-'节点与说明'!G26,9&lt;'节点与说明'!O26),1,"")))</x:f>
      </x:c>
      <x:c r="Q33" s="13" t="str">
        <x:f>IF(OR('节点与说明'!H26="不适用",10&gt;'时间线'!$C$9+1),"",IF(AND(10&gt;='节点与说明'!O26,10&lt;='节点与说明'!P26),2,IF(AND(10&gt;='节点与说明'!O26-'节点与说明'!G26,10&lt;'节点与说明'!O26),1,"")))</x:f>
      </x:c>
      <x:c r="R33" s="13" t="str">
        <x:f>IF(OR('节点与说明'!H26="不适用",11&gt;'时间线'!$C$9+1),"",IF(AND(11&gt;='节点与说明'!O26,11&lt;='节点与说明'!P26),2,IF(AND(11&gt;='节点与说明'!O26-'节点与说明'!G26,11&lt;'节点与说明'!O26),1,"")))</x:f>
      </x:c>
      <x:c r="S33" s="13" t="str">
        <x:f>IF(OR('节点与说明'!H26="不适用",12&gt;'时间线'!$C$9+1),"",IF(AND(12&gt;='节点与说明'!O26,12&lt;='节点与说明'!P26),2,IF(AND(12&gt;='节点与说明'!O26-'节点与说明'!G26,12&lt;'节点与说明'!O26),1,"")))</x:f>
      </x:c>
      <x:c r="T33" s="13" t="str">
        <x:f>IF(OR('节点与说明'!H26="不适用",13&gt;'时间线'!$C$9+1),"",IF(AND(13&gt;='节点与说明'!O26,13&lt;='节点与说明'!P26),2,IF(AND(13&gt;='节点与说明'!O26-'节点与说明'!G26,13&lt;'节点与说明'!O26),1,"")))</x:f>
      </x:c>
      <x:c r="U33" s="13" t="str">
        <x:f>IF(OR('节点与说明'!H26="不适用",14&gt;'时间线'!$C$9+1),"",IF(AND(14&gt;='节点与说明'!O26,14&lt;='节点与说明'!P26),2,IF(AND(14&gt;='节点与说明'!O26-'节点与说明'!G26,14&lt;'节点与说明'!O26),1,"")))</x:f>
      </x:c>
      <x:c r="V33" s="13" t="str">
        <x:f>IF(OR('节点与说明'!H26="不适用",15&gt;'时间线'!$C$9+1),"",IF(AND(15&gt;='节点与说明'!O26,15&lt;='节点与说明'!P26),2,IF(AND(15&gt;='节点与说明'!O26-'节点与说明'!G26,15&lt;'节点与说明'!O26),1,"")))</x:f>
      </x:c>
      <x:c r="W33" s="13" t="str">
        <x:f>IF(OR('节点与说明'!H26="不适用",16&gt;'时间线'!$C$9+1),"",IF(AND(16&gt;='节点与说明'!O26,16&lt;='节点与说明'!P26),2,IF(AND(16&gt;='节点与说明'!O26-'节点与说明'!G26,16&lt;'节点与说明'!O26),1,"")))</x:f>
      </x:c>
      <x:c r="X33" s="13" t="str">
        <x:f>IF(OR('节点与说明'!H26="不适用",17&gt;'时间线'!$C$9+1),"",IF(AND(17&gt;='节点与说明'!O26,17&lt;='节点与说明'!P26),2,IF(AND(17&gt;='节点与说明'!O26-'节点与说明'!G26,17&lt;'节点与说明'!O26),1,"")))</x:f>
      </x:c>
      <x:c r="Y33" s="13" t="str">
        <x:f>IF(OR('节点与说明'!H26="不适用",18&gt;'时间线'!$C$9+1),"",IF(AND(18&gt;='节点与说明'!O26,18&lt;='节点与说明'!P26),2,IF(AND(18&gt;='节点与说明'!O26-'节点与说明'!G26,18&lt;'节点与说明'!O26),1,"")))</x:f>
      </x:c>
      <x:c r="Z33" s="13" t="str">
        <x:f>IF(OR('节点与说明'!H26="不适用",19&gt;'时间线'!$C$9+1),"",IF(AND(19&gt;='节点与说明'!O26,19&lt;='节点与说明'!P26),2,IF(AND(19&gt;='节点与说明'!O26-'节点与说明'!G26,19&lt;'节点与说明'!O26),1,"")))</x:f>
      </x:c>
      <x:c r="AA33" s="13" t="str">
        <x:f>IF(OR('节点与说明'!H26="不适用",20&gt;'时间线'!$C$9+1),"",IF(AND(20&gt;='节点与说明'!O26,20&lt;='节点与说明'!P26),2,IF(AND(20&gt;='节点与说明'!O26-'节点与说明'!G26,20&lt;'节点与说明'!O26),1,"")))</x:f>
      </x:c>
      <x:c r="AB33" s="13" t="str">
        <x:f>IF(OR('节点与说明'!H26="不适用",21&gt;'时间线'!$C$9+1),"",IF(AND(21&gt;='节点与说明'!O26,21&lt;='节点与说明'!P26),2,IF(AND(21&gt;='节点与说明'!O26-'节点与说明'!G26,21&lt;'节点与说明'!O26),1,"")))</x:f>
      </x:c>
      <x:c r="AC33" s="13" t="str">
        <x:f>IF(OR('节点与说明'!H26="不适用",22&gt;'时间线'!$C$9+1),"",IF(AND(22&gt;='节点与说明'!O26,22&lt;='节点与说明'!P26),2,IF(AND(22&gt;='节点与说明'!O26-'节点与说明'!G26,22&lt;'节点与说明'!O26),1,"")))</x:f>
      </x:c>
      <x:c r="AD33" s="13" t="str">
        <x:f>IF(OR('节点与说明'!H26="不适用",23&gt;'时间线'!$C$9+1),"",IF(AND(23&gt;='节点与说明'!O26,23&lt;='节点与说明'!P26),2,IF(AND(23&gt;='节点与说明'!O26-'节点与说明'!G26,23&lt;'节点与说明'!O26),1,"")))</x:f>
      </x:c>
      <x:c r="AE33" s="13" t="str">
        <x:f>IF(OR('节点与说明'!H26="不适用",24&gt;'时间线'!$C$9+1),"",IF(AND(24&gt;='节点与说明'!O26,24&lt;='节点与说明'!P26),2,IF(AND(24&gt;='节点与说明'!O26-'节点与说明'!G26,24&lt;'节点与说明'!O26),1,"")))</x:f>
      </x:c>
      <x:c r="AF33" s="13" t="str">
        <x:f>IF(OR('节点与说明'!H26="不适用",25&gt;'时间线'!$C$9+1),"",IF(AND(25&gt;='节点与说明'!O26,25&lt;='节点与说明'!P26),2,IF(AND(25&gt;='节点与说明'!O26-'节点与说明'!G26,25&lt;'节点与说明'!O26),1,"")))</x:f>
      </x:c>
      <x:c r="AG33" s="13" t="str">
        <x:f>IF(OR('节点与说明'!H26="不适用",26&gt;'时间线'!$C$9+1),"",IF(AND(26&gt;='节点与说明'!O26,26&lt;='节点与说明'!P26),2,IF(AND(26&gt;='节点与说明'!O26-'节点与说明'!G26,26&lt;'节点与说明'!O26),1,"")))</x:f>
      </x:c>
      <x:c r="AH33" s="13" t="str">
        <x:f>IF(OR('节点与说明'!H26="不适用",27&gt;'时间线'!$C$9+1),"",IF(AND(27&gt;='节点与说明'!O26,27&lt;='节点与说明'!P26),2,IF(AND(27&gt;='节点与说明'!O26-'节点与说明'!G26,27&lt;'节点与说明'!O26),1,"")))</x:f>
      </x:c>
      <x:c r="AI33" s="13" t="str">
        <x:f>IF(OR('节点与说明'!H26="不适用",28&gt;'时间线'!$C$9+1),"",IF(AND(28&gt;='节点与说明'!O26,28&lt;='节点与说明'!P26),2,IF(AND(28&gt;='节点与说明'!O26-'节点与说明'!G26,28&lt;'节点与说明'!O26),1,"")))</x:f>
      </x:c>
      <x:c r="AJ33" s="13" t="str">
        <x:f>IF(OR('节点与说明'!H26="不适用",29&gt;'时间线'!$C$9+1),"",IF(AND(29&gt;='节点与说明'!O26,29&lt;='节点与说明'!P26),2,IF(AND(29&gt;='节点与说明'!O26-'节点与说明'!G26,29&lt;'节点与说明'!O26),1,"")))</x:f>
      </x:c>
      <x:c r="AK33" s="13" t="str">
        <x:f>IF(OR('节点与说明'!H26="不适用",30&gt;'时间线'!$C$9+1),"",IF(AND(30&gt;='节点与说明'!O26,30&lt;='节点与说明'!P26),2,IF(AND(30&gt;='节点与说明'!O26-'节点与说明'!G26,30&lt;'节点与说明'!O26),1,"")))</x:f>
      </x:c>
      <x:c r="AL33" s="13" t="str">
        <x:f>IF(OR('节点与说明'!H26="不适用",31&gt;'时间线'!$C$9+1),"",IF(AND(31&gt;='节点与说明'!O26,31&lt;='节点与说明'!P26),2,IF(AND(31&gt;='节点与说明'!O26-'节点与说明'!G26,31&lt;'节点与说明'!O26),1,"")))</x:f>
      </x:c>
      <x:c r="AM33" s="13" t="n">
        <x:f>IF(OR('节点与说明'!H26="不适用",32&gt;'时间线'!$C$9+1),"",IF(AND(32&gt;='节点与说明'!O26,32&lt;='节点与说明'!P26),2,IF(AND(32&gt;='节点与说明'!O26-'节点与说明'!G26,32&lt;'节点与说明'!O26),1,"")))</x:f>
        <x:v>2</x:v>
      </x:c>
      <x:c r="AN33" s="13" t="n">
        <x:f>IF(OR('节点与说明'!H26="不适用",33&gt;'时间线'!$C$9+1),"",IF(AND(33&gt;='节点与说明'!O26,33&lt;='节点与说明'!P26),2,IF(AND(33&gt;='节点与说明'!O26-'节点与说明'!G26,33&lt;'节点与说明'!O26),1,"")))</x:f>
        <x:v>2</x:v>
      </x:c>
      <x:c r="AO33" s="13" t="str">
        <x:f>IF(OR('节点与说明'!H26="不适用",34&gt;'时间线'!$C$9+1),"",IF(AND(34&gt;='节点与说明'!O26,34&lt;='节点与说明'!P26),2,IF(AND(34&gt;='节点与说明'!O26-'节点与说明'!G26,34&lt;'节点与说明'!O26),1,"")))</x:f>
      </x:c>
      <x:c r="AP33" s="13" t="str">
        <x:f>IF(OR('节点与说明'!H26="不适用",35&gt;'时间线'!$C$9+1),"",IF(AND(35&gt;='节点与说明'!O26,35&lt;='节点与说明'!P26),2,IF(AND(35&gt;='节点与说明'!O26-'节点与说明'!G26,35&lt;'节点与说明'!O26),1,"")))</x:f>
      </x:c>
      <x:c r="AQ33" s="2"/>
      <x:c r="AR33" s="11" t="str">
        <x:f>'节点与说明'!N26</x:f>
        <x:v>答辩前先下载归档清单，答辩后逐条销项。</x:v>
      </x:c>
    </x:row>
    <x:row r="34" ht="38" customHeight="1">
      <x:c r="A34" s="2" t="str">
        <x:f>'节点与说明'!A27</x:f>
        <x:v>A17</x:v>
      </x:c>
      <x:c r="B34" s="15" t="str">
        <x:f>'节点与说明'!B27</x:f>
        <x:v>培养</x:v>
      </x:c>
      <x:c r="C34" s="11" t="str">
        <x:f>'节点与说明'!C27</x:f>
        <x:v>学位审议、毕业与离校</x:v>
      </x:c>
      <x:c r="D34" s="2" t="str">
        <x:f>'节点与说明'!H27</x:f>
        <x:v>待确认</x:v>
      </x:c>
      <x:c r="E34" s="2" t="n">
        <x:f>'节点与说明'!G27</x:f>
        <x:v>1</x:v>
      </x:c>
      <x:c r="F34" s="2" t="str">
        <x:f>'节点与说明'!S27</x:f>
        <x:v>研3·5月</x:v>
      </x:c>
      <x:c r="G34" s="13" t="str">
        <x:f>IF(OR('节点与说明'!H27="不适用",0&gt;'时间线'!$C$9+1),"",IF(AND(0&gt;='节点与说明'!O27,0&lt;='节点与说明'!P27),2,IF(AND(0&gt;='节点与说明'!O27-'节点与说明'!G27,0&lt;'节点与说明'!O27),1,"")))</x:f>
      </x:c>
      <x:c r="H34" s="13" t="str">
        <x:f>IF(OR('节点与说明'!H27="不适用",1&gt;'时间线'!$C$9+1),"",IF(AND(1&gt;='节点与说明'!O27,1&lt;='节点与说明'!P27),2,IF(AND(1&gt;='节点与说明'!O27-'节点与说明'!G27,1&lt;'节点与说明'!O27),1,"")))</x:f>
      </x:c>
      <x:c r="I34" s="13" t="str">
        <x:f>IF(OR('节点与说明'!H27="不适用",2&gt;'时间线'!$C$9+1),"",IF(AND(2&gt;='节点与说明'!O27,2&lt;='节点与说明'!P27),2,IF(AND(2&gt;='节点与说明'!O27-'节点与说明'!G27,2&lt;'节点与说明'!O27),1,"")))</x:f>
      </x:c>
      <x:c r="J34" s="13" t="str">
        <x:f>IF(OR('节点与说明'!H27="不适用",3&gt;'时间线'!$C$9+1),"",IF(AND(3&gt;='节点与说明'!O27,3&lt;='节点与说明'!P27),2,IF(AND(3&gt;='节点与说明'!O27-'节点与说明'!G27,3&lt;'节点与说明'!O27),1,"")))</x:f>
      </x:c>
      <x:c r="K34" s="13" t="str">
        <x:f>IF(OR('节点与说明'!H27="不适用",4&gt;'时间线'!$C$9+1),"",IF(AND(4&gt;='节点与说明'!O27,4&lt;='节点与说明'!P27),2,IF(AND(4&gt;='节点与说明'!O27-'节点与说明'!G27,4&lt;'节点与说明'!O27),1,"")))</x:f>
      </x:c>
      <x:c r="L34" s="13" t="str">
        <x:f>IF(OR('节点与说明'!H27="不适用",5&gt;'时间线'!$C$9+1),"",IF(AND(5&gt;='节点与说明'!O27,5&lt;='节点与说明'!P27),2,IF(AND(5&gt;='节点与说明'!O27-'节点与说明'!G27,5&lt;'节点与说明'!O27),1,"")))</x:f>
      </x:c>
      <x:c r="M34" s="13" t="str">
        <x:f>IF(OR('节点与说明'!H27="不适用",6&gt;'时间线'!$C$9+1),"",IF(AND(6&gt;='节点与说明'!O27,6&lt;='节点与说明'!P27),2,IF(AND(6&gt;='节点与说明'!O27-'节点与说明'!G27,6&lt;'节点与说明'!O27),1,"")))</x:f>
      </x:c>
      <x:c r="N34" s="13" t="str">
        <x:f>IF(OR('节点与说明'!H27="不适用",7&gt;'时间线'!$C$9+1),"",IF(AND(7&gt;='节点与说明'!O27,7&lt;='节点与说明'!P27),2,IF(AND(7&gt;='节点与说明'!O27-'节点与说明'!G27,7&lt;'节点与说明'!O27),1,"")))</x:f>
      </x:c>
      <x:c r="O34" s="13" t="str">
        <x:f>IF(OR('节点与说明'!H27="不适用",8&gt;'时间线'!$C$9+1),"",IF(AND(8&gt;='节点与说明'!O27,8&lt;='节点与说明'!P27),2,IF(AND(8&gt;='节点与说明'!O27-'节点与说明'!G27,8&lt;'节点与说明'!O27),1,"")))</x:f>
      </x:c>
      <x:c r="P34" s="13" t="str">
        <x:f>IF(OR('节点与说明'!H27="不适用",9&gt;'时间线'!$C$9+1),"",IF(AND(9&gt;='节点与说明'!O27,9&lt;='节点与说明'!P27),2,IF(AND(9&gt;='节点与说明'!O27-'节点与说明'!G27,9&lt;'节点与说明'!O27),1,"")))</x:f>
      </x:c>
      <x:c r="Q34" s="13" t="str">
        <x:f>IF(OR('节点与说明'!H27="不适用",10&gt;'时间线'!$C$9+1),"",IF(AND(10&gt;='节点与说明'!O27,10&lt;='节点与说明'!P27),2,IF(AND(10&gt;='节点与说明'!O27-'节点与说明'!G27,10&lt;'节点与说明'!O27),1,"")))</x:f>
      </x:c>
      <x:c r="R34" s="13" t="str">
        <x:f>IF(OR('节点与说明'!H27="不适用",11&gt;'时间线'!$C$9+1),"",IF(AND(11&gt;='节点与说明'!O27,11&lt;='节点与说明'!P27),2,IF(AND(11&gt;='节点与说明'!O27-'节点与说明'!G27,11&lt;'节点与说明'!O27),1,"")))</x:f>
      </x:c>
      <x:c r="S34" s="13" t="str">
        <x:f>IF(OR('节点与说明'!H27="不适用",12&gt;'时间线'!$C$9+1),"",IF(AND(12&gt;='节点与说明'!O27,12&lt;='节点与说明'!P27),2,IF(AND(12&gt;='节点与说明'!O27-'节点与说明'!G27,12&lt;'节点与说明'!O27),1,"")))</x:f>
      </x:c>
      <x:c r="T34" s="13" t="str">
        <x:f>IF(OR('节点与说明'!H27="不适用",13&gt;'时间线'!$C$9+1),"",IF(AND(13&gt;='节点与说明'!O27,13&lt;='节点与说明'!P27),2,IF(AND(13&gt;='节点与说明'!O27-'节点与说明'!G27,13&lt;'节点与说明'!O27),1,"")))</x:f>
      </x:c>
      <x:c r="U34" s="13" t="str">
        <x:f>IF(OR('节点与说明'!H27="不适用",14&gt;'时间线'!$C$9+1),"",IF(AND(14&gt;='节点与说明'!O27,14&lt;='节点与说明'!P27),2,IF(AND(14&gt;='节点与说明'!O27-'节点与说明'!G27,14&lt;'节点与说明'!O27),1,"")))</x:f>
      </x:c>
      <x:c r="V34" s="13" t="str">
        <x:f>IF(OR('节点与说明'!H27="不适用",15&gt;'时间线'!$C$9+1),"",IF(AND(15&gt;='节点与说明'!O27,15&lt;='节点与说明'!P27),2,IF(AND(15&gt;='节点与说明'!O27-'节点与说明'!G27,15&lt;'节点与说明'!O27),1,"")))</x:f>
      </x:c>
      <x:c r="W34" s="13" t="str">
        <x:f>IF(OR('节点与说明'!H27="不适用",16&gt;'时间线'!$C$9+1),"",IF(AND(16&gt;='节点与说明'!O27,16&lt;='节点与说明'!P27),2,IF(AND(16&gt;='节点与说明'!O27-'节点与说明'!G27,16&lt;'节点与说明'!O27),1,"")))</x:f>
      </x:c>
      <x:c r="X34" s="13" t="str">
        <x:f>IF(OR('节点与说明'!H27="不适用",17&gt;'时间线'!$C$9+1),"",IF(AND(17&gt;='节点与说明'!O27,17&lt;='节点与说明'!P27),2,IF(AND(17&gt;='节点与说明'!O27-'节点与说明'!G27,17&lt;'节点与说明'!O27),1,"")))</x:f>
      </x:c>
      <x:c r="Y34" s="13" t="str">
        <x:f>IF(OR('节点与说明'!H27="不适用",18&gt;'时间线'!$C$9+1),"",IF(AND(18&gt;='节点与说明'!O27,18&lt;='节点与说明'!P27),2,IF(AND(18&gt;='节点与说明'!O27-'节点与说明'!G27,18&lt;'节点与说明'!O27),1,"")))</x:f>
      </x:c>
      <x:c r="Z34" s="13" t="str">
        <x:f>IF(OR('节点与说明'!H27="不适用",19&gt;'时间线'!$C$9+1),"",IF(AND(19&gt;='节点与说明'!O27,19&lt;='节点与说明'!P27),2,IF(AND(19&gt;='节点与说明'!O27-'节点与说明'!G27,19&lt;'节点与说明'!O27),1,"")))</x:f>
      </x:c>
      <x:c r="AA34" s="13" t="str">
        <x:f>IF(OR('节点与说明'!H27="不适用",20&gt;'时间线'!$C$9+1),"",IF(AND(20&gt;='节点与说明'!O27,20&lt;='节点与说明'!P27),2,IF(AND(20&gt;='节点与说明'!O27-'节点与说明'!G27,20&lt;'节点与说明'!O27),1,"")))</x:f>
      </x:c>
      <x:c r="AB34" s="13" t="str">
        <x:f>IF(OR('节点与说明'!H27="不适用",21&gt;'时间线'!$C$9+1),"",IF(AND(21&gt;='节点与说明'!O27,21&lt;='节点与说明'!P27),2,IF(AND(21&gt;='节点与说明'!O27-'节点与说明'!G27,21&lt;'节点与说明'!O27),1,"")))</x:f>
      </x:c>
      <x:c r="AC34" s="13" t="str">
        <x:f>IF(OR('节点与说明'!H27="不适用",22&gt;'时间线'!$C$9+1),"",IF(AND(22&gt;='节点与说明'!O27,22&lt;='节点与说明'!P27),2,IF(AND(22&gt;='节点与说明'!O27-'节点与说明'!G27,22&lt;'节点与说明'!O27),1,"")))</x:f>
      </x:c>
      <x:c r="AD34" s="13" t="str">
        <x:f>IF(OR('节点与说明'!H27="不适用",23&gt;'时间线'!$C$9+1),"",IF(AND(23&gt;='节点与说明'!O27,23&lt;='节点与说明'!P27),2,IF(AND(23&gt;='节点与说明'!O27-'节点与说明'!G27,23&lt;'节点与说明'!O27),1,"")))</x:f>
      </x:c>
      <x:c r="AE34" s="13" t="str">
        <x:f>IF(OR('节点与说明'!H27="不适用",24&gt;'时间线'!$C$9+1),"",IF(AND(24&gt;='节点与说明'!O27,24&lt;='节点与说明'!P27),2,IF(AND(24&gt;='节点与说明'!O27-'节点与说明'!G27,24&lt;'节点与说明'!O27),1,"")))</x:f>
      </x:c>
      <x:c r="AF34" s="13" t="str">
        <x:f>IF(OR('节点与说明'!H27="不适用",25&gt;'时间线'!$C$9+1),"",IF(AND(25&gt;='节点与说明'!O27,25&lt;='节点与说明'!P27),2,IF(AND(25&gt;='节点与说明'!O27-'节点与说明'!G27,25&lt;'节点与说明'!O27),1,"")))</x:f>
      </x:c>
      <x:c r="AG34" s="13" t="str">
        <x:f>IF(OR('节点与说明'!H27="不适用",26&gt;'时间线'!$C$9+1),"",IF(AND(26&gt;='节点与说明'!O27,26&lt;='节点与说明'!P27),2,IF(AND(26&gt;='节点与说明'!O27-'节点与说明'!G27,26&lt;'节点与说明'!O27),1,"")))</x:f>
      </x:c>
      <x:c r="AH34" s="13" t="str">
        <x:f>IF(OR('节点与说明'!H27="不适用",27&gt;'时间线'!$C$9+1),"",IF(AND(27&gt;='节点与说明'!O27,27&lt;='节点与说明'!P27),2,IF(AND(27&gt;='节点与说明'!O27-'节点与说明'!G27,27&lt;'节点与说明'!O27),1,"")))</x:f>
      </x:c>
      <x:c r="AI34" s="13" t="str">
        <x:f>IF(OR('节点与说明'!H27="不适用",28&gt;'时间线'!$C$9+1),"",IF(AND(28&gt;='节点与说明'!O27,28&lt;='节点与说明'!P27),2,IF(AND(28&gt;='节点与说明'!O27-'节点与说明'!G27,28&lt;'节点与说明'!O27),1,"")))</x:f>
      </x:c>
      <x:c r="AJ34" s="13" t="str">
        <x:f>IF(OR('节点与说明'!H27="不适用",29&gt;'时间线'!$C$9+1),"",IF(AND(29&gt;='节点与说明'!O27,29&lt;='节点与说明'!P27),2,IF(AND(29&gt;='节点与说明'!O27-'节点与说明'!G27,29&lt;'节点与说明'!O27),1,"")))</x:f>
      </x:c>
      <x:c r="AK34" s="13" t="str">
        <x:f>IF(OR('节点与说明'!H27="不适用",30&gt;'时间线'!$C$9+1),"",IF(AND(30&gt;='节点与说明'!O27,30&lt;='节点与说明'!P27),2,IF(AND(30&gt;='节点与说明'!O27-'节点与说明'!G27,30&lt;'节点与说明'!O27),1,"")))</x:f>
      </x:c>
      <x:c r="AL34" s="13" t="str">
        <x:f>IF(OR('节点与说明'!H27="不适用",31&gt;'时间线'!$C$9+1),"",IF(AND(31&gt;='节点与说明'!O27,31&lt;='节点与说明'!P27),2,IF(AND(31&gt;='节点与说明'!O27-'节点与说明'!G27,31&lt;'节点与说明'!O27),1,"")))</x:f>
      </x:c>
      <x:c r="AM34" s="13" t="n">
        <x:f>IF(OR('节点与说明'!H27="不适用",32&gt;'时间线'!$C$9+1),"",IF(AND(32&gt;='节点与说明'!O27,32&lt;='节点与说明'!P27),2,IF(AND(32&gt;='节点与说明'!O27-'节点与说明'!G27,32&lt;'节点与说明'!O27),1,"")))</x:f>
        <x:v>1</x:v>
      </x:c>
      <x:c r="AN34" s="13" t="n">
        <x:f>IF(OR('节点与说明'!H27="不适用",33&gt;'时间线'!$C$9+1),"",IF(AND(33&gt;='节点与说明'!O27,33&lt;='节点与说明'!P27),2,IF(AND(33&gt;='节点与说明'!O27-'节点与说明'!G27,33&lt;'节点与说明'!O27),1,"")))</x:f>
        <x:v>2</x:v>
      </x:c>
      <x:c r="AO34" s="13" t="str">
        <x:f>IF(OR('节点与说明'!H27="不适用",34&gt;'时间线'!$C$9+1),"",IF(AND(34&gt;='节点与说明'!O27,34&lt;='节点与说明'!P27),2,IF(AND(34&gt;='节点与说明'!O27-'节点与说明'!G27,34&lt;'节点与说明'!O27),1,"")))</x:f>
      </x:c>
      <x:c r="AP34" s="13" t="str">
        <x:f>IF(OR('节点与说明'!H27="不适用",35&gt;'时间线'!$C$9+1),"",IF(AND(35&gt;='节点与说明'!O27,35&lt;='节点与说明'!P27),2,IF(AND(35&gt;='节点与说明'!O27-'节点与说明'!G27,35&lt;'节点与说明'!O27),1,"")))</x:f>
      </x:c>
      <x:c r="AQ34" s="2"/>
      <x:c r="AR34" s="11" t="str">
        <x:f>'节点与说明'!N27</x:f>
        <x:v>提前1个月检查证件信息、档案与就业去向登记。</x:v>
      </x:c>
    </x:row>
    <x:row r="35" ht="38" customHeight="1">
      <x:c r="A35" s="2" t="str">
        <x:f>'节点与说明'!A28</x:f>
        <x:v>B01</x:v>
      </x:c>
      <x:c r="B35" s="17" t="str">
        <x:f>'节点与说明'!B28</x:f>
        <x:v>就业</x:v>
      </x:c>
      <x:c r="C35" s="11" t="str">
        <x:f>'节点与说明'!C28</x:f>
        <x:v>岗位方向与能力差距梳理</x:v>
      </x:c>
      <x:c r="D35" s="2" t="str">
        <x:f>'节点与说明'!H28</x:f>
        <x:v>待确认</x:v>
      </x:c>
      <x:c r="E35" s="2" t="n">
        <x:f>'节点与说明'!G28</x:f>
        <x:v>0</x:v>
      </x:c>
      <x:c r="F35" s="2" t="str">
        <x:f>'节点与说明'!S28</x:f>
        <x:v>研1·10月</x:v>
      </x:c>
      <x:c r="G35" s="13" t="str">
        <x:f>IF(OR('节点与说明'!H28="不适用",0&gt;'时间线'!$C$9+1),"",IF(AND(0&gt;='节点与说明'!O28,0&lt;='节点与说明'!P28),2,IF(AND(0&gt;='节点与说明'!O28-'节点与说明'!G28,0&lt;'节点与说明'!O28),1,"")))</x:f>
      </x:c>
      <x:c r="H35" s="13" t="n">
        <x:f>IF(OR('节点与说明'!H28="不适用",1&gt;'时间线'!$C$9+1),"",IF(AND(1&gt;='节点与说明'!O28,1&lt;='节点与说明'!P28),2,IF(AND(1&gt;='节点与说明'!O28-'节点与说明'!G28,1&lt;'节点与说明'!O28),1,"")))</x:f>
        <x:v>2</x:v>
      </x:c>
      <x:c r="I35" s="13" t="n">
        <x:f>IF(OR('节点与说明'!H28="不适用",2&gt;'时间线'!$C$9+1),"",IF(AND(2&gt;='节点与说明'!O28,2&lt;='节点与说明'!P28),2,IF(AND(2&gt;='节点与说明'!O28-'节点与说明'!G28,2&lt;'节点与说明'!O28),1,"")))</x:f>
        <x:v>2</x:v>
      </x:c>
      <x:c r="J35" s="13" t="n">
        <x:f>IF(OR('节点与说明'!H28="不适用",3&gt;'时间线'!$C$9+1),"",IF(AND(3&gt;='节点与说明'!O28,3&lt;='节点与说明'!P28),2,IF(AND(3&gt;='节点与说明'!O28-'节点与说明'!G28,3&lt;'节点与说明'!O28),1,"")))</x:f>
        <x:v>2</x:v>
      </x:c>
      <x:c r="K35" s="13" t="n">
        <x:f>IF(OR('节点与说明'!H28="不适用",4&gt;'时间线'!$C$9+1),"",IF(AND(4&gt;='节点与说明'!O28,4&lt;='节点与说明'!P28),2,IF(AND(4&gt;='节点与说明'!O28-'节点与说明'!G28,4&lt;'节点与说明'!O28),1,"")))</x:f>
        <x:v>2</x:v>
      </x:c>
      <x:c r="L35" s="13" t="n">
        <x:f>IF(OR('节点与说明'!H28="不适用",5&gt;'时间线'!$C$9+1),"",IF(AND(5&gt;='节点与说明'!O28,5&lt;='节点与说明'!P28),2,IF(AND(5&gt;='节点与说明'!O28-'节点与说明'!G28,5&lt;'节点与说明'!O28),1,"")))</x:f>
        <x:v>2</x:v>
      </x:c>
      <x:c r="M35" s="13" t="str">
        <x:f>IF(OR('节点与说明'!H28="不适用",6&gt;'时间线'!$C$9+1),"",IF(AND(6&gt;='节点与说明'!O28,6&lt;='节点与说明'!P28),2,IF(AND(6&gt;='节点与说明'!O28-'节点与说明'!G28,6&lt;'节点与说明'!O28),1,"")))</x:f>
      </x:c>
      <x:c r="N35" s="13" t="str">
        <x:f>IF(OR('节点与说明'!H28="不适用",7&gt;'时间线'!$C$9+1),"",IF(AND(7&gt;='节点与说明'!O28,7&lt;='节点与说明'!P28),2,IF(AND(7&gt;='节点与说明'!O28-'节点与说明'!G28,7&lt;'节点与说明'!O28),1,"")))</x:f>
      </x:c>
      <x:c r="O35" s="13" t="str">
        <x:f>IF(OR('节点与说明'!H28="不适用",8&gt;'时间线'!$C$9+1),"",IF(AND(8&gt;='节点与说明'!O28,8&lt;='节点与说明'!P28),2,IF(AND(8&gt;='节点与说明'!O28-'节点与说明'!G28,8&lt;'节点与说明'!O28),1,"")))</x:f>
      </x:c>
      <x:c r="P35" s="13" t="str">
        <x:f>IF(OR('节点与说明'!H28="不适用",9&gt;'时间线'!$C$9+1),"",IF(AND(9&gt;='节点与说明'!O28,9&lt;='节点与说明'!P28),2,IF(AND(9&gt;='节点与说明'!O28-'节点与说明'!G28,9&lt;'节点与说明'!O28),1,"")))</x:f>
      </x:c>
      <x:c r="Q35" s="13" t="str">
        <x:f>IF(OR('节点与说明'!H28="不适用",10&gt;'时间线'!$C$9+1),"",IF(AND(10&gt;='节点与说明'!O28,10&lt;='节点与说明'!P28),2,IF(AND(10&gt;='节点与说明'!O28-'节点与说明'!G28,10&lt;'节点与说明'!O28),1,"")))</x:f>
      </x:c>
      <x:c r="R35" s="13" t="str">
        <x:f>IF(OR('节点与说明'!H28="不适用",11&gt;'时间线'!$C$9+1),"",IF(AND(11&gt;='节点与说明'!O28,11&lt;='节点与说明'!P28),2,IF(AND(11&gt;='节点与说明'!O28-'节点与说明'!G28,11&lt;'节点与说明'!O28),1,"")))</x:f>
      </x:c>
      <x:c r="S35" s="13" t="str">
        <x:f>IF(OR('节点与说明'!H28="不适用",12&gt;'时间线'!$C$9+1),"",IF(AND(12&gt;='节点与说明'!O28,12&lt;='节点与说明'!P28),2,IF(AND(12&gt;='节点与说明'!O28-'节点与说明'!G28,12&lt;'节点与说明'!O28),1,"")))</x:f>
      </x:c>
      <x:c r="T35" s="13" t="str">
        <x:f>IF(OR('节点与说明'!H28="不适用",13&gt;'时间线'!$C$9+1),"",IF(AND(13&gt;='节点与说明'!O28,13&lt;='节点与说明'!P28),2,IF(AND(13&gt;='节点与说明'!O28-'节点与说明'!G28,13&lt;'节点与说明'!O28),1,"")))</x:f>
      </x:c>
      <x:c r="U35" s="13" t="str">
        <x:f>IF(OR('节点与说明'!H28="不适用",14&gt;'时间线'!$C$9+1),"",IF(AND(14&gt;='节点与说明'!O28,14&lt;='节点与说明'!P28),2,IF(AND(14&gt;='节点与说明'!O28-'节点与说明'!G28,14&lt;'节点与说明'!O28),1,"")))</x:f>
      </x:c>
      <x:c r="V35" s="13" t="str">
        <x:f>IF(OR('节点与说明'!H28="不适用",15&gt;'时间线'!$C$9+1),"",IF(AND(15&gt;='节点与说明'!O28,15&lt;='节点与说明'!P28),2,IF(AND(15&gt;='节点与说明'!O28-'节点与说明'!G28,15&lt;'节点与说明'!O28),1,"")))</x:f>
      </x:c>
      <x:c r="W35" s="13" t="str">
        <x:f>IF(OR('节点与说明'!H28="不适用",16&gt;'时间线'!$C$9+1),"",IF(AND(16&gt;='节点与说明'!O28,16&lt;='节点与说明'!P28),2,IF(AND(16&gt;='节点与说明'!O28-'节点与说明'!G28,16&lt;'节点与说明'!O28),1,"")))</x:f>
      </x:c>
      <x:c r="X35" s="13" t="str">
        <x:f>IF(OR('节点与说明'!H28="不适用",17&gt;'时间线'!$C$9+1),"",IF(AND(17&gt;='节点与说明'!O28,17&lt;='节点与说明'!P28),2,IF(AND(17&gt;='节点与说明'!O28-'节点与说明'!G28,17&lt;'节点与说明'!O28),1,"")))</x:f>
      </x:c>
      <x:c r="Y35" s="13" t="str">
        <x:f>IF(OR('节点与说明'!H28="不适用",18&gt;'时间线'!$C$9+1),"",IF(AND(18&gt;='节点与说明'!O28,18&lt;='节点与说明'!P28),2,IF(AND(18&gt;='节点与说明'!O28-'节点与说明'!G28,18&lt;'节点与说明'!O28),1,"")))</x:f>
      </x:c>
      <x:c r="Z35" s="13" t="str">
        <x:f>IF(OR('节点与说明'!H28="不适用",19&gt;'时间线'!$C$9+1),"",IF(AND(19&gt;='节点与说明'!O28,19&lt;='节点与说明'!P28),2,IF(AND(19&gt;='节点与说明'!O28-'节点与说明'!G28,19&lt;'节点与说明'!O28),1,"")))</x:f>
      </x:c>
      <x:c r="AA35" s="13" t="str">
        <x:f>IF(OR('节点与说明'!H28="不适用",20&gt;'时间线'!$C$9+1),"",IF(AND(20&gt;='节点与说明'!O28,20&lt;='节点与说明'!P28),2,IF(AND(20&gt;='节点与说明'!O28-'节点与说明'!G28,20&lt;'节点与说明'!O28),1,"")))</x:f>
      </x:c>
      <x:c r="AB35" s="13" t="str">
        <x:f>IF(OR('节点与说明'!H28="不适用",21&gt;'时间线'!$C$9+1),"",IF(AND(21&gt;='节点与说明'!O28,21&lt;='节点与说明'!P28),2,IF(AND(21&gt;='节点与说明'!O28-'节点与说明'!G28,21&lt;'节点与说明'!O28),1,"")))</x:f>
      </x:c>
      <x:c r="AC35" s="13" t="str">
        <x:f>IF(OR('节点与说明'!H28="不适用",22&gt;'时间线'!$C$9+1),"",IF(AND(22&gt;='节点与说明'!O28,22&lt;='节点与说明'!P28),2,IF(AND(22&gt;='节点与说明'!O28-'节点与说明'!G28,22&lt;'节点与说明'!O28),1,"")))</x:f>
      </x:c>
      <x:c r="AD35" s="13" t="str">
        <x:f>IF(OR('节点与说明'!H28="不适用",23&gt;'时间线'!$C$9+1),"",IF(AND(23&gt;='节点与说明'!O28,23&lt;='节点与说明'!P28),2,IF(AND(23&gt;='节点与说明'!O28-'节点与说明'!G28,23&lt;'节点与说明'!O28),1,"")))</x:f>
      </x:c>
      <x:c r="AE35" s="13" t="str">
        <x:f>IF(OR('节点与说明'!H28="不适用",24&gt;'时间线'!$C$9+1),"",IF(AND(24&gt;='节点与说明'!O28,24&lt;='节点与说明'!P28),2,IF(AND(24&gt;='节点与说明'!O28-'节点与说明'!G28,24&lt;'节点与说明'!O28),1,"")))</x:f>
      </x:c>
      <x:c r="AF35" s="13" t="str">
        <x:f>IF(OR('节点与说明'!H28="不适用",25&gt;'时间线'!$C$9+1),"",IF(AND(25&gt;='节点与说明'!O28,25&lt;='节点与说明'!P28),2,IF(AND(25&gt;='节点与说明'!O28-'节点与说明'!G28,25&lt;'节点与说明'!O28),1,"")))</x:f>
      </x:c>
      <x:c r="AG35" s="13" t="str">
        <x:f>IF(OR('节点与说明'!H28="不适用",26&gt;'时间线'!$C$9+1),"",IF(AND(26&gt;='节点与说明'!O28,26&lt;='节点与说明'!P28),2,IF(AND(26&gt;='节点与说明'!O28-'节点与说明'!G28,26&lt;'节点与说明'!O28),1,"")))</x:f>
      </x:c>
      <x:c r="AH35" s="13" t="str">
        <x:f>IF(OR('节点与说明'!H28="不适用",27&gt;'时间线'!$C$9+1),"",IF(AND(27&gt;='节点与说明'!O28,27&lt;='节点与说明'!P28),2,IF(AND(27&gt;='节点与说明'!O28-'节点与说明'!G28,27&lt;'节点与说明'!O28),1,"")))</x:f>
      </x:c>
      <x:c r="AI35" s="13" t="str">
        <x:f>IF(OR('节点与说明'!H28="不适用",28&gt;'时间线'!$C$9+1),"",IF(AND(28&gt;='节点与说明'!O28,28&lt;='节点与说明'!P28),2,IF(AND(28&gt;='节点与说明'!O28-'节点与说明'!G28,28&lt;'节点与说明'!O28),1,"")))</x:f>
      </x:c>
      <x:c r="AJ35" s="13" t="str">
        <x:f>IF(OR('节点与说明'!H28="不适用",29&gt;'时间线'!$C$9+1),"",IF(AND(29&gt;='节点与说明'!O28,29&lt;='节点与说明'!P28),2,IF(AND(29&gt;='节点与说明'!O28-'节点与说明'!G28,29&lt;'节点与说明'!O28),1,"")))</x:f>
      </x:c>
      <x:c r="AK35" s="13" t="str">
        <x:f>IF(OR('节点与说明'!H28="不适用",30&gt;'时间线'!$C$9+1),"",IF(AND(30&gt;='节点与说明'!O28,30&lt;='节点与说明'!P28),2,IF(AND(30&gt;='节点与说明'!O28-'节点与说明'!G28,30&lt;'节点与说明'!O28),1,"")))</x:f>
      </x:c>
      <x:c r="AL35" s="13" t="str">
        <x:f>IF(OR('节点与说明'!H28="不适用",31&gt;'时间线'!$C$9+1),"",IF(AND(31&gt;='节点与说明'!O28,31&lt;='节点与说明'!P28),2,IF(AND(31&gt;='节点与说明'!O28-'节点与说明'!G28,31&lt;'节点与说明'!O28),1,"")))</x:f>
      </x:c>
      <x:c r="AM35" s="13" t="str">
        <x:f>IF(OR('节点与说明'!H28="不适用",32&gt;'时间线'!$C$9+1),"",IF(AND(32&gt;='节点与说明'!O28,32&lt;='节点与说明'!P28),2,IF(AND(32&gt;='节点与说明'!O28-'节点与说明'!G28,32&lt;'节点与说明'!O28),1,"")))</x:f>
      </x:c>
      <x:c r="AN35" s="13" t="str">
        <x:f>IF(OR('节点与说明'!H28="不适用",33&gt;'时间线'!$C$9+1),"",IF(AND(33&gt;='节点与说明'!O28,33&lt;='节点与说明'!P28),2,IF(AND(33&gt;='节点与说明'!O28-'节点与说明'!G28,33&lt;'节点与说明'!O28),1,"")))</x:f>
      </x:c>
      <x:c r="AO35" s="13" t="str">
        <x:f>IF(OR('节点与说明'!H28="不适用",34&gt;'时间线'!$C$9+1),"",IF(AND(34&gt;='节点与说明'!O28,34&lt;='节点与说明'!P28),2,IF(AND(34&gt;='节点与说明'!O28-'节点与说明'!G28,34&lt;'节点与说明'!O28),1,"")))</x:f>
      </x:c>
      <x:c r="AP35" s="13" t="str">
        <x:f>IF(OR('节点与说明'!H28="不适用",35&gt;'时间线'!$C$9+1),"",IF(AND(35&gt;='节点与说明'!O28,35&lt;='节点与说明'!P28),2,IF(AND(35&gt;='节点与说明'!O28-'节点与说明'!G28,35&lt;'节点与说明'!O28),1,"")))</x:f>
      </x:c>
      <x:c r="AQ35" s="2"/>
      <x:c r="AR35" s="11" t="str">
        <x:f>'节点与说明'!N28</x:f>
        <x:v>先看20个目标岗位，识别重复要求，不按证书数量规划。</x:v>
      </x:c>
    </x:row>
    <x:row r="36" ht="38" customHeight="1">
      <x:c r="A36" s="2" t="str">
        <x:f>'节点与说明'!A29</x:f>
        <x:v>B02</x:v>
      </x:c>
      <x:c r="B36" s="17" t="str">
        <x:f>'节点与说明'!B29</x:f>
        <x:v>就业</x:v>
      </x:c>
      <x:c r="C36" s="11" t="str">
        <x:f>'节点与说明'!C29</x:f>
        <x:v>项目成果与面试素材沉淀</x:v>
      </x:c>
      <x:c r="D36" s="2" t="str">
        <x:f>'节点与说明'!H29</x:f>
        <x:v>待确认</x:v>
      </x:c>
      <x:c r="E36" s="2" t="n">
        <x:f>'节点与说明'!G29</x:f>
        <x:v>0</x:v>
      </x:c>
      <x:c r="F36" s="2" t="str">
        <x:f>'节点与说明'!S29</x:f>
        <x:v>研1·12月</x:v>
      </x:c>
      <x:c r="G36" s="13" t="str">
        <x:f>IF(OR('节点与说明'!H29="不适用",0&gt;'时间线'!$C$9+1),"",IF(AND(0&gt;='节点与说明'!O29,0&lt;='节点与说明'!P29),2,IF(AND(0&gt;='节点与说明'!O29-'节点与说明'!G29,0&lt;'节点与说明'!O29),1,"")))</x:f>
      </x:c>
      <x:c r="H36" s="13" t="str">
        <x:f>IF(OR('节点与说明'!H29="不适用",1&gt;'时间线'!$C$9+1),"",IF(AND(1&gt;='节点与说明'!O29,1&lt;='节点与说明'!P29),2,IF(AND(1&gt;='节点与说明'!O29-'节点与说明'!G29,1&lt;'节点与说明'!O29),1,"")))</x:f>
      </x:c>
      <x:c r="I36" s="13" t="str">
        <x:f>IF(OR('节点与说明'!H29="不适用",2&gt;'时间线'!$C$9+1),"",IF(AND(2&gt;='节点与说明'!O29,2&lt;='节点与说明'!P29),2,IF(AND(2&gt;='节点与说明'!O29-'节点与说明'!G29,2&lt;'节点与说明'!O29),1,"")))</x:f>
      </x:c>
      <x:c r="J36" s="13" t="n">
        <x:f>IF(OR('节点与说明'!H29="不适用",3&gt;'时间线'!$C$9+1),"",IF(AND(3&gt;='节点与说明'!O29,3&lt;='节点与说明'!P29),2,IF(AND(3&gt;='节点与说明'!O29-'节点与说明'!G29,3&lt;'节点与说明'!O29),1,"")))</x:f>
        <x:v>2</x:v>
      </x:c>
      <x:c r="K36" s="13" t="n">
        <x:f>IF(OR('节点与说明'!H29="不适用",4&gt;'时间线'!$C$9+1),"",IF(AND(4&gt;='节点与说明'!O29,4&lt;='节点与说明'!P29),2,IF(AND(4&gt;='节点与说明'!O29-'节点与说明'!G29,4&lt;'节点与说明'!O29),1,"")))</x:f>
        <x:v>2</x:v>
      </x:c>
      <x:c r="L36" s="13" t="n">
        <x:f>IF(OR('节点与说明'!H29="不适用",5&gt;'时间线'!$C$9+1),"",IF(AND(5&gt;='节点与说明'!O29,5&lt;='节点与说明'!P29),2,IF(AND(5&gt;='节点与说明'!O29-'节点与说明'!G29,5&lt;'节点与说明'!O29),1,"")))</x:f>
        <x:v>2</x:v>
      </x:c>
      <x:c r="M36" s="13" t="n">
        <x:f>IF(OR('节点与说明'!H29="不适用",6&gt;'时间线'!$C$9+1),"",IF(AND(6&gt;='节点与说明'!O29,6&lt;='节点与说明'!P29),2,IF(AND(6&gt;='节点与说明'!O29-'节点与说明'!G29,6&lt;'节点与说明'!O29),1,"")))</x:f>
        <x:v>2</x:v>
      </x:c>
      <x:c r="N36" s="13" t="n">
        <x:f>IF(OR('节点与说明'!H29="不适用",7&gt;'时间线'!$C$9+1),"",IF(AND(7&gt;='节点与说明'!O29,7&lt;='节点与说明'!P29),2,IF(AND(7&gt;='节点与说明'!O29-'节点与说明'!G29,7&lt;'节点与说明'!O29),1,"")))</x:f>
        <x:v>2</x:v>
      </x:c>
      <x:c r="O36" s="13" t="n">
        <x:f>IF(OR('节点与说明'!H29="不适用",8&gt;'时间线'!$C$9+1),"",IF(AND(8&gt;='节点与说明'!O29,8&lt;='节点与说明'!P29),2,IF(AND(8&gt;='节点与说明'!O29-'节点与说明'!G29,8&lt;'节点与说明'!O29),1,"")))</x:f>
        <x:v>2</x:v>
      </x:c>
      <x:c r="P36" s="13" t="n">
        <x:f>IF(OR('节点与说明'!H29="不适用",9&gt;'时间线'!$C$9+1),"",IF(AND(9&gt;='节点与说明'!O29,9&lt;='节点与说明'!P29),2,IF(AND(9&gt;='节点与说明'!O29-'节点与说明'!G29,9&lt;'节点与说明'!O29),1,"")))</x:f>
        <x:v>2</x:v>
      </x:c>
      <x:c r="Q36" s="13" t="n">
        <x:f>IF(OR('节点与说明'!H29="不适用",10&gt;'时间线'!$C$9+1),"",IF(AND(10&gt;='节点与说明'!O29,10&lt;='节点与说明'!P29),2,IF(AND(10&gt;='节点与说明'!O29-'节点与说明'!G29,10&lt;'节点与说明'!O29),1,"")))</x:f>
        <x:v>2</x:v>
      </x:c>
      <x:c r="R36" s="13" t="n">
        <x:f>IF(OR('节点与说明'!H29="不适用",11&gt;'时间线'!$C$9+1),"",IF(AND(11&gt;='节点与说明'!O29,11&lt;='节点与说明'!P29),2,IF(AND(11&gt;='节点与说明'!O29-'节点与说明'!G29,11&lt;'节点与说明'!O29),1,"")))</x:f>
        <x:v>2</x:v>
      </x:c>
      <x:c r="S36" s="13" t="str">
        <x:f>IF(OR('节点与说明'!H29="不适用",12&gt;'时间线'!$C$9+1),"",IF(AND(12&gt;='节点与说明'!O29,12&lt;='节点与说明'!P29),2,IF(AND(12&gt;='节点与说明'!O29-'节点与说明'!G29,12&lt;'节点与说明'!O29),1,"")))</x:f>
      </x:c>
      <x:c r="T36" s="13" t="str">
        <x:f>IF(OR('节点与说明'!H29="不适用",13&gt;'时间线'!$C$9+1),"",IF(AND(13&gt;='节点与说明'!O29,13&lt;='节点与说明'!P29),2,IF(AND(13&gt;='节点与说明'!O29-'节点与说明'!G29,13&lt;'节点与说明'!O29),1,"")))</x:f>
      </x:c>
      <x:c r="U36" s="13" t="str">
        <x:f>IF(OR('节点与说明'!H29="不适用",14&gt;'时间线'!$C$9+1),"",IF(AND(14&gt;='节点与说明'!O29,14&lt;='节点与说明'!P29),2,IF(AND(14&gt;='节点与说明'!O29-'节点与说明'!G29,14&lt;'节点与说明'!O29),1,"")))</x:f>
      </x:c>
      <x:c r="V36" s="13" t="str">
        <x:f>IF(OR('节点与说明'!H29="不适用",15&gt;'时间线'!$C$9+1),"",IF(AND(15&gt;='节点与说明'!O29,15&lt;='节点与说明'!P29),2,IF(AND(15&gt;='节点与说明'!O29-'节点与说明'!G29,15&lt;'节点与说明'!O29),1,"")))</x:f>
      </x:c>
      <x:c r="W36" s="13" t="str">
        <x:f>IF(OR('节点与说明'!H29="不适用",16&gt;'时间线'!$C$9+1),"",IF(AND(16&gt;='节点与说明'!O29,16&lt;='节点与说明'!P29),2,IF(AND(16&gt;='节点与说明'!O29-'节点与说明'!G29,16&lt;'节点与说明'!O29),1,"")))</x:f>
      </x:c>
      <x:c r="X36" s="13" t="str">
        <x:f>IF(OR('节点与说明'!H29="不适用",17&gt;'时间线'!$C$9+1),"",IF(AND(17&gt;='节点与说明'!O29,17&lt;='节点与说明'!P29),2,IF(AND(17&gt;='节点与说明'!O29-'节点与说明'!G29,17&lt;'节点与说明'!O29),1,"")))</x:f>
      </x:c>
      <x:c r="Y36" s="13" t="str">
        <x:f>IF(OR('节点与说明'!H29="不适用",18&gt;'时间线'!$C$9+1),"",IF(AND(18&gt;='节点与说明'!O29,18&lt;='节点与说明'!P29),2,IF(AND(18&gt;='节点与说明'!O29-'节点与说明'!G29,18&lt;'节点与说明'!O29),1,"")))</x:f>
      </x:c>
      <x:c r="Z36" s="13" t="str">
        <x:f>IF(OR('节点与说明'!H29="不适用",19&gt;'时间线'!$C$9+1),"",IF(AND(19&gt;='节点与说明'!O29,19&lt;='节点与说明'!P29),2,IF(AND(19&gt;='节点与说明'!O29-'节点与说明'!G29,19&lt;'节点与说明'!O29),1,"")))</x:f>
      </x:c>
      <x:c r="AA36" s="13" t="str">
        <x:f>IF(OR('节点与说明'!H29="不适用",20&gt;'时间线'!$C$9+1),"",IF(AND(20&gt;='节点与说明'!O29,20&lt;='节点与说明'!P29),2,IF(AND(20&gt;='节点与说明'!O29-'节点与说明'!G29,20&lt;'节点与说明'!O29),1,"")))</x:f>
      </x:c>
      <x:c r="AB36" s="13" t="str">
        <x:f>IF(OR('节点与说明'!H29="不适用",21&gt;'时间线'!$C$9+1),"",IF(AND(21&gt;='节点与说明'!O29,21&lt;='节点与说明'!P29),2,IF(AND(21&gt;='节点与说明'!O29-'节点与说明'!G29,21&lt;'节点与说明'!O29),1,"")))</x:f>
      </x:c>
      <x:c r="AC36" s="13" t="str">
        <x:f>IF(OR('节点与说明'!H29="不适用",22&gt;'时间线'!$C$9+1),"",IF(AND(22&gt;='节点与说明'!O29,22&lt;='节点与说明'!P29),2,IF(AND(22&gt;='节点与说明'!O29-'节点与说明'!G29,22&lt;'节点与说明'!O29),1,"")))</x:f>
      </x:c>
      <x:c r="AD36" s="13" t="str">
        <x:f>IF(OR('节点与说明'!H29="不适用",23&gt;'时间线'!$C$9+1),"",IF(AND(23&gt;='节点与说明'!O29,23&lt;='节点与说明'!P29),2,IF(AND(23&gt;='节点与说明'!O29-'节点与说明'!G29,23&lt;'节点与说明'!O29),1,"")))</x:f>
      </x:c>
      <x:c r="AE36" s="13" t="str">
        <x:f>IF(OR('节点与说明'!H29="不适用",24&gt;'时间线'!$C$9+1),"",IF(AND(24&gt;='节点与说明'!O29,24&lt;='节点与说明'!P29),2,IF(AND(24&gt;='节点与说明'!O29-'节点与说明'!G29,24&lt;'节点与说明'!O29),1,"")))</x:f>
      </x:c>
      <x:c r="AF36" s="13" t="str">
        <x:f>IF(OR('节点与说明'!H29="不适用",25&gt;'时间线'!$C$9+1),"",IF(AND(25&gt;='节点与说明'!O29,25&lt;='节点与说明'!P29),2,IF(AND(25&gt;='节点与说明'!O29-'节点与说明'!G29,25&lt;'节点与说明'!O29),1,"")))</x:f>
      </x:c>
      <x:c r="AG36" s="13" t="str">
        <x:f>IF(OR('节点与说明'!H29="不适用",26&gt;'时间线'!$C$9+1),"",IF(AND(26&gt;='节点与说明'!O29,26&lt;='节点与说明'!P29),2,IF(AND(26&gt;='节点与说明'!O29-'节点与说明'!G29,26&lt;'节点与说明'!O29),1,"")))</x:f>
      </x:c>
      <x:c r="AH36" s="13" t="str">
        <x:f>IF(OR('节点与说明'!H29="不适用",27&gt;'时间线'!$C$9+1),"",IF(AND(27&gt;='节点与说明'!O29,27&lt;='节点与说明'!P29),2,IF(AND(27&gt;='节点与说明'!O29-'节点与说明'!G29,27&lt;'节点与说明'!O29),1,"")))</x:f>
      </x:c>
      <x:c r="AI36" s="13" t="str">
        <x:f>IF(OR('节点与说明'!H29="不适用",28&gt;'时间线'!$C$9+1),"",IF(AND(28&gt;='节点与说明'!O29,28&lt;='节点与说明'!P29),2,IF(AND(28&gt;='节点与说明'!O29-'节点与说明'!G29,28&lt;'节点与说明'!O29),1,"")))</x:f>
      </x:c>
      <x:c r="AJ36" s="13" t="str">
        <x:f>IF(OR('节点与说明'!H29="不适用",29&gt;'时间线'!$C$9+1),"",IF(AND(29&gt;='节点与说明'!O29,29&lt;='节点与说明'!P29),2,IF(AND(29&gt;='节点与说明'!O29-'节点与说明'!G29,29&lt;'节点与说明'!O29),1,"")))</x:f>
      </x:c>
      <x:c r="AK36" s="13" t="str">
        <x:f>IF(OR('节点与说明'!H29="不适用",30&gt;'时间线'!$C$9+1),"",IF(AND(30&gt;='节点与说明'!O29,30&lt;='节点与说明'!P29),2,IF(AND(30&gt;='节点与说明'!O29-'节点与说明'!G29,30&lt;'节点与说明'!O29),1,"")))</x:f>
      </x:c>
      <x:c r="AL36" s="13" t="str">
        <x:f>IF(OR('节点与说明'!H29="不适用",31&gt;'时间线'!$C$9+1),"",IF(AND(31&gt;='节点与说明'!O29,31&lt;='节点与说明'!P29),2,IF(AND(31&gt;='节点与说明'!O29-'节点与说明'!G29,31&lt;'节点与说明'!O29),1,"")))</x:f>
      </x:c>
      <x:c r="AM36" s="13" t="str">
        <x:f>IF(OR('节点与说明'!H29="不适用",32&gt;'时间线'!$C$9+1),"",IF(AND(32&gt;='节点与说明'!O29,32&lt;='节点与说明'!P29),2,IF(AND(32&gt;='节点与说明'!O29-'节点与说明'!G29,32&lt;'节点与说明'!O29),1,"")))</x:f>
      </x:c>
      <x:c r="AN36" s="13" t="str">
        <x:f>IF(OR('节点与说明'!H29="不适用",33&gt;'时间线'!$C$9+1),"",IF(AND(33&gt;='节点与说明'!O29,33&lt;='节点与说明'!P29),2,IF(AND(33&gt;='节点与说明'!O29-'节点与说明'!G29,33&lt;'节点与说明'!O29),1,"")))</x:f>
      </x:c>
      <x:c r="AO36" s="13" t="str">
        <x:f>IF(OR('节点与说明'!H29="不适用",34&gt;'时间线'!$C$9+1),"",IF(AND(34&gt;='节点与说明'!O29,34&lt;='节点与说明'!P29),2,IF(AND(34&gt;='节点与说明'!O29-'节点与说明'!G29,34&lt;'节点与说明'!O29),1,"")))</x:f>
      </x:c>
      <x:c r="AP36" s="13" t="str">
        <x:f>IF(OR('节点与说明'!H29="不适用",35&gt;'时间线'!$C$9+1),"",IF(AND(35&gt;='节点与说明'!O29,35&lt;='节点与说明'!P29),2,IF(AND(35&gt;='节点与说明'!O29-'节点与说明'!G29,35&lt;'节点与说明'!O29),1,"")))</x:f>
      </x:c>
      <x:c r="AQ36" s="2"/>
      <x:c r="AR36" s="11" t="str">
        <x:f>'节点与说明'!N29</x:f>
        <x:v>每月更新一次成果记录，保留个人贡献和可验证证据。</x:v>
      </x:c>
    </x:row>
    <x:row r="37" ht="38" customHeight="1">
      <x:c r="A37" s="2" t="str">
        <x:f>'节点与说明'!A30</x:f>
        <x:v>B03</x:v>
      </x:c>
      <x:c r="B37" s="17" t="str">
        <x:f>'节点与说明'!B30</x:f>
        <x:v>就业</x:v>
      </x:c>
      <x:c r="C37" s="11" t="str">
        <x:f>'节点与说明'!C30</x:f>
        <x:v>暑期实习投递与面试</x:v>
      </x:c>
      <x:c r="D37" s="2" t="str">
        <x:f>'节点与说明'!H30</x:f>
        <x:v>待确认</x:v>
      </x:c>
      <x:c r="E37" s="2" t="n">
        <x:f>'节点与说明'!G30</x:f>
        <x:v>2</x:v>
      </x:c>
      <x:c r="F37" s="2" t="str">
        <x:f>'节点与说明'!S30</x:f>
        <x:v>研2·12月</x:v>
      </x:c>
      <x:c r="G37" s="13" t="str">
        <x:f>IF(OR('节点与说明'!H30="不适用",0&gt;'时间线'!$C$9+1),"",IF(AND(0&gt;='节点与说明'!O30,0&lt;='节点与说明'!P30),2,IF(AND(0&gt;='节点与说明'!O30-'节点与说明'!G30,0&lt;'节点与说明'!O30),1,"")))</x:f>
      </x:c>
      <x:c r="H37" s="13" t="str">
        <x:f>IF(OR('节点与说明'!H30="不适用",1&gt;'时间线'!$C$9+1),"",IF(AND(1&gt;='节点与说明'!O30,1&lt;='节点与说明'!P30),2,IF(AND(1&gt;='节点与说明'!O30-'节点与说明'!G30,1&lt;'节点与说明'!O30),1,"")))</x:f>
      </x:c>
      <x:c r="I37" s="13" t="str">
        <x:f>IF(OR('节点与说明'!H30="不适用",2&gt;'时间线'!$C$9+1),"",IF(AND(2&gt;='节点与说明'!O30,2&lt;='节点与说明'!P30),2,IF(AND(2&gt;='节点与说明'!O30-'节点与说明'!G30,2&lt;'节点与说明'!O30),1,"")))</x:f>
      </x:c>
      <x:c r="J37" s="13" t="str">
        <x:f>IF(OR('节点与说明'!H30="不适用",3&gt;'时间线'!$C$9+1),"",IF(AND(3&gt;='节点与说明'!O30,3&lt;='节点与说明'!P30),2,IF(AND(3&gt;='节点与说明'!O30-'节点与说明'!G30,3&lt;'节点与说明'!O30),1,"")))</x:f>
      </x:c>
      <x:c r="K37" s="13" t="str">
        <x:f>IF(OR('节点与说明'!H30="不适用",4&gt;'时间线'!$C$9+1),"",IF(AND(4&gt;='节点与说明'!O30,4&lt;='节点与说明'!P30),2,IF(AND(4&gt;='节点与说明'!O30-'节点与说明'!G30,4&lt;'节点与说明'!O30),1,"")))</x:f>
      </x:c>
      <x:c r="L37" s="13" t="str">
        <x:f>IF(OR('节点与说明'!H30="不适用",5&gt;'时间线'!$C$9+1),"",IF(AND(5&gt;='节点与说明'!O30,5&lt;='节点与说明'!P30),2,IF(AND(5&gt;='节点与说明'!O30-'节点与说明'!G30,5&lt;'节点与说明'!O30),1,"")))</x:f>
      </x:c>
      <x:c r="M37" s="13" t="str">
        <x:f>IF(OR('节点与说明'!H30="不适用",6&gt;'时间线'!$C$9+1),"",IF(AND(6&gt;='节点与说明'!O30,6&lt;='节点与说明'!P30),2,IF(AND(6&gt;='节点与说明'!O30-'节点与说明'!G30,6&lt;'节点与说明'!O30),1,"")))</x:f>
      </x:c>
      <x:c r="N37" s="13" t="str">
        <x:f>IF(OR('节点与说明'!H30="不适用",7&gt;'时间线'!$C$9+1),"",IF(AND(7&gt;='节点与说明'!O30,7&lt;='节点与说明'!P30),2,IF(AND(7&gt;='节点与说明'!O30-'节点与说明'!G30,7&lt;'节点与说明'!O30),1,"")))</x:f>
      </x:c>
      <x:c r="O37" s="13" t="str">
        <x:f>IF(OR('节点与说明'!H30="不适用",8&gt;'时间线'!$C$9+1),"",IF(AND(8&gt;='节点与说明'!O30,8&lt;='节点与说明'!P30),2,IF(AND(8&gt;='节点与说明'!O30-'节点与说明'!G30,8&lt;'节点与说明'!O30),1,"")))</x:f>
      </x:c>
      <x:c r="P37" s="13" t="str">
        <x:f>IF(OR('节点与说明'!H30="不适用",9&gt;'时间线'!$C$9+1),"",IF(AND(9&gt;='节点与说明'!O30,9&lt;='节点与说明'!P30),2,IF(AND(9&gt;='节点与说明'!O30-'节点与说明'!G30,9&lt;'节点与说明'!O30),1,"")))</x:f>
      </x:c>
      <x:c r="Q37" s="13" t="str">
        <x:f>IF(OR('节点与说明'!H30="不适用",10&gt;'时间线'!$C$9+1),"",IF(AND(10&gt;='节点与说明'!O30,10&lt;='节点与说明'!P30),2,IF(AND(10&gt;='节点与说明'!O30-'节点与说明'!G30,10&lt;'节点与说明'!O30),1,"")))</x:f>
      </x:c>
      <x:c r="R37" s="13" t="str">
        <x:f>IF(OR('节点与说明'!H30="不适用",11&gt;'时间线'!$C$9+1),"",IF(AND(11&gt;='节点与说明'!O30,11&lt;='节点与说明'!P30),2,IF(AND(11&gt;='节点与说明'!O30-'节点与说明'!G30,11&lt;'节点与说明'!O30),1,"")))</x:f>
      </x:c>
      <x:c r="S37" s="13" t="str">
        <x:f>IF(OR('节点与说明'!H30="不适用",12&gt;'时间线'!$C$9+1),"",IF(AND(12&gt;='节点与说明'!O30,12&lt;='节点与说明'!P30),2,IF(AND(12&gt;='节点与说明'!O30-'节点与说明'!G30,12&lt;'节点与说明'!O30),1,"")))</x:f>
      </x:c>
      <x:c r="T37" s="13" t="str">
        <x:f>IF(OR('节点与说明'!H30="不适用",13&gt;'时间线'!$C$9+1),"",IF(AND(13&gt;='节点与说明'!O30,13&lt;='节点与说明'!P30),2,IF(AND(13&gt;='节点与说明'!O30-'节点与说明'!G30,13&lt;'节点与说明'!O30),1,"")))</x:f>
      </x:c>
      <x:c r="U37" s="13" t="str">
        <x:f>IF(OR('节点与说明'!H30="不适用",14&gt;'时间线'!$C$9+1),"",IF(AND(14&gt;='节点与说明'!O30,14&lt;='节点与说明'!P30),2,IF(AND(14&gt;='节点与说明'!O30-'节点与说明'!G30,14&lt;'节点与说明'!O30),1,"")))</x:f>
      </x:c>
      <x:c r="V37" s="13" t="n">
        <x:f>IF(OR('节点与说明'!H30="不适用",15&gt;'时间线'!$C$9+1),"",IF(AND(15&gt;='节点与说明'!O30,15&lt;='节点与说明'!P30),2,IF(AND(15&gt;='节点与说明'!O30-'节点与说明'!G30,15&lt;'节点与说明'!O30),1,"")))</x:f>
        <x:v>1</x:v>
      </x:c>
      <x:c r="W37" s="13" t="n">
        <x:f>IF(OR('节点与说明'!H30="不适用",16&gt;'时间线'!$C$9+1),"",IF(AND(16&gt;='节点与说明'!O30,16&lt;='节点与说明'!P30),2,IF(AND(16&gt;='节点与说明'!O30-'节点与说明'!G30,16&lt;'节点与说明'!O30),1,"")))</x:f>
        <x:v>1</x:v>
      </x:c>
      <x:c r="X37" s="13" t="n">
        <x:f>IF(OR('节点与说明'!H30="不适用",17&gt;'时间线'!$C$9+1),"",IF(AND(17&gt;='节点与说明'!O30,17&lt;='节点与说明'!P30),2,IF(AND(17&gt;='节点与说明'!O30-'节点与说明'!G30,17&lt;'节点与说明'!O30),1,"")))</x:f>
        <x:v>2</x:v>
      </x:c>
      <x:c r="Y37" s="13" t="n">
        <x:f>IF(OR('节点与说明'!H30="不适用",18&gt;'时间线'!$C$9+1),"",IF(AND(18&gt;='节点与说明'!O30,18&lt;='节点与说明'!P30),2,IF(AND(18&gt;='节点与说明'!O30-'节点与说明'!G30,18&lt;'节点与说明'!O30),1,"")))</x:f>
        <x:v>2</x:v>
      </x:c>
      <x:c r="Z37" s="13" t="n">
        <x:f>IF(OR('节点与说明'!H30="不适用",19&gt;'时间线'!$C$9+1),"",IF(AND(19&gt;='节点与说明'!O30,19&lt;='节点与说明'!P30),2,IF(AND(19&gt;='节点与说明'!O30-'节点与说明'!G30,19&lt;'节点与说明'!O30),1,"")))</x:f>
        <x:v>2</x:v>
      </x:c>
      <x:c r="AA37" s="13" t="n">
        <x:f>IF(OR('节点与说明'!H30="不适用",20&gt;'时间线'!$C$9+1),"",IF(AND(20&gt;='节点与说明'!O30,20&lt;='节点与说明'!P30),2,IF(AND(20&gt;='节点与说明'!O30-'节点与说明'!G30,20&lt;'节点与说明'!O30),1,"")))</x:f>
        <x:v>2</x:v>
      </x:c>
      <x:c r="AB37" s="13" t="str">
        <x:f>IF(OR('节点与说明'!H30="不适用",21&gt;'时间线'!$C$9+1),"",IF(AND(21&gt;='节点与说明'!O30,21&lt;='节点与说明'!P30),2,IF(AND(21&gt;='节点与说明'!O30-'节点与说明'!G30,21&lt;'节点与说明'!O30),1,"")))</x:f>
      </x:c>
      <x:c r="AC37" s="13" t="str">
        <x:f>IF(OR('节点与说明'!H30="不适用",22&gt;'时间线'!$C$9+1),"",IF(AND(22&gt;='节点与说明'!O30,22&lt;='节点与说明'!P30),2,IF(AND(22&gt;='节点与说明'!O30-'节点与说明'!G30,22&lt;'节点与说明'!O30),1,"")))</x:f>
      </x:c>
      <x:c r="AD37" s="13" t="str">
        <x:f>IF(OR('节点与说明'!H30="不适用",23&gt;'时间线'!$C$9+1),"",IF(AND(23&gt;='节点与说明'!O30,23&lt;='节点与说明'!P30),2,IF(AND(23&gt;='节点与说明'!O30-'节点与说明'!G30,23&lt;'节点与说明'!O30),1,"")))</x:f>
      </x:c>
      <x:c r="AE37" s="13" t="str">
        <x:f>IF(OR('节点与说明'!H30="不适用",24&gt;'时间线'!$C$9+1),"",IF(AND(24&gt;='节点与说明'!O30,24&lt;='节点与说明'!P30),2,IF(AND(24&gt;='节点与说明'!O30-'节点与说明'!G30,24&lt;'节点与说明'!O30),1,"")))</x:f>
      </x:c>
      <x:c r="AF37" s="13" t="str">
        <x:f>IF(OR('节点与说明'!H30="不适用",25&gt;'时间线'!$C$9+1),"",IF(AND(25&gt;='节点与说明'!O30,25&lt;='节点与说明'!P30),2,IF(AND(25&gt;='节点与说明'!O30-'节点与说明'!G30,25&lt;'节点与说明'!O30),1,"")))</x:f>
      </x:c>
      <x:c r="AG37" s="13" t="str">
        <x:f>IF(OR('节点与说明'!H30="不适用",26&gt;'时间线'!$C$9+1),"",IF(AND(26&gt;='节点与说明'!O30,26&lt;='节点与说明'!P30),2,IF(AND(26&gt;='节点与说明'!O30-'节点与说明'!G30,26&lt;'节点与说明'!O30),1,"")))</x:f>
      </x:c>
      <x:c r="AH37" s="13" t="str">
        <x:f>IF(OR('节点与说明'!H30="不适用",27&gt;'时间线'!$C$9+1),"",IF(AND(27&gt;='节点与说明'!O30,27&lt;='节点与说明'!P30),2,IF(AND(27&gt;='节点与说明'!O30-'节点与说明'!G30,27&lt;'节点与说明'!O30),1,"")))</x:f>
      </x:c>
      <x:c r="AI37" s="13" t="str">
        <x:f>IF(OR('节点与说明'!H30="不适用",28&gt;'时间线'!$C$9+1),"",IF(AND(28&gt;='节点与说明'!O30,28&lt;='节点与说明'!P30),2,IF(AND(28&gt;='节点与说明'!O30-'节点与说明'!G30,28&lt;'节点与说明'!O30),1,"")))</x:f>
      </x:c>
      <x:c r="AJ37" s="13" t="str">
        <x:f>IF(OR('节点与说明'!H30="不适用",29&gt;'时间线'!$C$9+1),"",IF(AND(29&gt;='节点与说明'!O30,29&lt;='节点与说明'!P30),2,IF(AND(29&gt;='节点与说明'!O30-'节点与说明'!G30,29&lt;'节点与说明'!O30),1,"")))</x:f>
      </x:c>
      <x:c r="AK37" s="13" t="str">
        <x:f>IF(OR('节点与说明'!H30="不适用",30&gt;'时间线'!$C$9+1),"",IF(AND(30&gt;='节点与说明'!O30,30&lt;='节点与说明'!P30),2,IF(AND(30&gt;='节点与说明'!O30-'节点与说明'!G30,30&lt;'节点与说明'!O30),1,"")))</x:f>
      </x:c>
      <x:c r="AL37" s="13" t="str">
        <x:f>IF(OR('节点与说明'!H30="不适用",31&gt;'时间线'!$C$9+1),"",IF(AND(31&gt;='节点与说明'!O30,31&lt;='节点与说明'!P30),2,IF(AND(31&gt;='节点与说明'!O30-'节点与说明'!G30,31&lt;'节点与说明'!O30),1,"")))</x:f>
      </x:c>
      <x:c r="AM37" s="13" t="str">
        <x:f>IF(OR('节点与说明'!H30="不适用",32&gt;'时间线'!$C$9+1),"",IF(AND(32&gt;='节点与说明'!O30,32&lt;='节点与说明'!P30),2,IF(AND(32&gt;='节点与说明'!O30-'节点与说明'!G30,32&lt;'节点与说明'!O30),1,"")))</x:f>
      </x:c>
      <x:c r="AN37" s="13" t="str">
        <x:f>IF(OR('节点与说明'!H30="不适用",33&gt;'时间线'!$C$9+1),"",IF(AND(33&gt;='节点与说明'!O30,33&lt;='节点与说明'!P30),2,IF(AND(33&gt;='节点与说明'!O30-'节点与说明'!G30,33&lt;'节点与说明'!O30),1,"")))</x:f>
      </x:c>
      <x:c r="AO37" s="13" t="str">
        <x:f>IF(OR('节点与说明'!H30="不适用",34&gt;'时间线'!$C$9+1),"",IF(AND(34&gt;='节点与说明'!O30,34&lt;='节点与说明'!P30),2,IF(AND(34&gt;='节点与说明'!O30-'节点与说明'!G30,34&lt;'节点与说明'!O30),1,"")))</x:f>
      </x:c>
      <x:c r="AP37" s="13" t="str">
        <x:f>IF(OR('节点与说明'!H30="不适用",35&gt;'时间线'!$C$9+1),"",IF(AND(35&gt;='节点与说明'!O30,35&lt;='节点与说明'!P30),2,IF(AND(35&gt;='节点与说明'!O30-'节点与说明'!G30,35&lt;'节点与说明'!O30),1,"")))</x:f>
      </x:c>
      <x:c r="AQ37" s="2"/>
      <x:c r="AR37" s="11" t="str">
        <x:f>'节点与说明'!N30</x:f>
        <x:v>提前4–8周备简历与面试，提前确认可实习时长。</x:v>
      </x:c>
    </x:row>
    <x:row r="38" ht="38" customHeight="1">
      <x:c r="A38" s="2" t="str">
        <x:f>'节点与说明'!A31</x:f>
        <x:v>B04</x:v>
      </x:c>
      <x:c r="B38" s="17" t="str">
        <x:f>'节点与说明'!B31</x:f>
        <x:v>就业</x:v>
      </x:c>
      <x:c r="C38" s="11" t="str">
        <x:f>'节点与说明'!C31</x:f>
        <x:v>暑期实习与转正评估</x:v>
      </x:c>
      <x:c r="D38" s="2" t="str">
        <x:f>'节点与说明'!H31</x:f>
        <x:v>待确认</x:v>
      </x:c>
      <x:c r="E38" s="2" t="n">
        <x:f>'节点与说明'!G31</x:f>
        <x:v>1</x:v>
      </x:c>
      <x:c r="F38" s="2" t="str">
        <x:f>'节点与说明'!S31</x:f>
        <x:v>研2·5月</x:v>
      </x:c>
      <x:c r="G38" s="13" t="str">
        <x:f>IF(OR('节点与说明'!H31="不适用",0&gt;'时间线'!$C$9+1),"",IF(AND(0&gt;='节点与说明'!O31,0&lt;='节点与说明'!P31),2,IF(AND(0&gt;='节点与说明'!O31-'节点与说明'!G31,0&lt;'节点与说明'!O31),1,"")))</x:f>
      </x:c>
      <x:c r="H38" s="13" t="str">
        <x:f>IF(OR('节点与说明'!H31="不适用",1&gt;'时间线'!$C$9+1),"",IF(AND(1&gt;='节点与说明'!O31,1&lt;='节点与说明'!P31),2,IF(AND(1&gt;='节点与说明'!O31-'节点与说明'!G31,1&lt;'节点与说明'!O31),1,"")))</x:f>
      </x:c>
      <x:c r="I38" s="13" t="str">
        <x:f>IF(OR('节点与说明'!H31="不适用",2&gt;'时间线'!$C$9+1),"",IF(AND(2&gt;='节点与说明'!O31,2&lt;='节点与说明'!P31),2,IF(AND(2&gt;='节点与说明'!O31-'节点与说明'!G31,2&lt;'节点与说明'!O31),1,"")))</x:f>
      </x:c>
      <x:c r="J38" s="13" t="str">
        <x:f>IF(OR('节点与说明'!H31="不适用",3&gt;'时间线'!$C$9+1),"",IF(AND(3&gt;='节点与说明'!O31,3&lt;='节点与说明'!P31),2,IF(AND(3&gt;='节点与说明'!O31-'节点与说明'!G31,3&lt;'节点与说明'!O31),1,"")))</x:f>
      </x:c>
      <x:c r="K38" s="13" t="str">
        <x:f>IF(OR('节点与说明'!H31="不适用",4&gt;'时间线'!$C$9+1),"",IF(AND(4&gt;='节点与说明'!O31,4&lt;='节点与说明'!P31),2,IF(AND(4&gt;='节点与说明'!O31-'节点与说明'!G31,4&lt;'节点与说明'!O31),1,"")))</x:f>
      </x:c>
      <x:c r="L38" s="13" t="str">
        <x:f>IF(OR('节点与说明'!H31="不适用",5&gt;'时间线'!$C$9+1),"",IF(AND(5&gt;='节点与说明'!O31,5&lt;='节点与说明'!P31),2,IF(AND(5&gt;='节点与说明'!O31-'节点与说明'!G31,5&lt;'节点与说明'!O31),1,"")))</x:f>
      </x:c>
      <x:c r="M38" s="13" t="str">
        <x:f>IF(OR('节点与说明'!H31="不适用",6&gt;'时间线'!$C$9+1),"",IF(AND(6&gt;='节点与说明'!O31,6&lt;='节点与说明'!P31),2,IF(AND(6&gt;='节点与说明'!O31-'节点与说明'!G31,6&lt;'节点与说明'!O31),1,"")))</x:f>
      </x:c>
      <x:c r="N38" s="13" t="str">
        <x:f>IF(OR('节点与说明'!H31="不适用",7&gt;'时间线'!$C$9+1),"",IF(AND(7&gt;='节点与说明'!O31,7&lt;='节点与说明'!P31),2,IF(AND(7&gt;='节点与说明'!O31-'节点与说明'!G31,7&lt;'节点与说明'!O31),1,"")))</x:f>
      </x:c>
      <x:c r="O38" s="13" t="str">
        <x:f>IF(OR('节点与说明'!H31="不适用",8&gt;'时间线'!$C$9+1),"",IF(AND(8&gt;='节点与说明'!O31,8&lt;='节点与说明'!P31),2,IF(AND(8&gt;='节点与说明'!O31-'节点与说明'!G31,8&lt;'节点与说明'!O31),1,"")))</x:f>
      </x:c>
      <x:c r="P38" s="13" t="str">
        <x:f>IF(OR('节点与说明'!H31="不适用",9&gt;'时间线'!$C$9+1),"",IF(AND(9&gt;='节点与说明'!O31,9&lt;='节点与说明'!P31),2,IF(AND(9&gt;='节点与说明'!O31-'节点与说明'!G31,9&lt;'节点与说明'!O31),1,"")))</x:f>
      </x:c>
      <x:c r="Q38" s="13" t="str">
        <x:f>IF(OR('节点与说明'!H31="不适用",10&gt;'时间线'!$C$9+1),"",IF(AND(10&gt;='节点与说明'!O31,10&lt;='节点与说明'!P31),2,IF(AND(10&gt;='节点与说明'!O31-'节点与说明'!G31,10&lt;'节点与说明'!O31),1,"")))</x:f>
      </x:c>
      <x:c r="R38" s="13" t="str">
        <x:f>IF(OR('节点与说明'!H31="不适用",11&gt;'时间线'!$C$9+1),"",IF(AND(11&gt;='节点与说明'!O31,11&lt;='节点与说明'!P31),2,IF(AND(11&gt;='节点与说明'!O31-'节点与说明'!G31,11&lt;'节点与说明'!O31),1,"")))</x:f>
      </x:c>
      <x:c r="S38" s="13" t="str">
        <x:f>IF(OR('节点与说明'!H31="不适用",12&gt;'时间线'!$C$9+1),"",IF(AND(12&gt;='节点与说明'!O31,12&lt;='节点与说明'!P31),2,IF(AND(12&gt;='节点与说明'!O31-'节点与说明'!G31,12&lt;'节点与说明'!O31),1,"")))</x:f>
      </x:c>
      <x:c r="T38" s="13" t="str">
        <x:f>IF(OR('节点与说明'!H31="不适用",13&gt;'时间线'!$C$9+1),"",IF(AND(13&gt;='节点与说明'!O31,13&lt;='节点与说明'!P31),2,IF(AND(13&gt;='节点与说明'!O31-'节点与说明'!G31,13&lt;'节点与说明'!O31),1,"")))</x:f>
      </x:c>
      <x:c r="U38" s="13" t="str">
        <x:f>IF(OR('节点与说明'!H31="不适用",14&gt;'时间线'!$C$9+1),"",IF(AND(14&gt;='节点与说明'!O31,14&lt;='节点与说明'!P31),2,IF(AND(14&gt;='节点与说明'!O31-'节点与说明'!G31,14&lt;'节点与说明'!O31),1,"")))</x:f>
      </x:c>
      <x:c r="V38" s="13" t="str">
        <x:f>IF(OR('节点与说明'!H31="不适用",15&gt;'时间线'!$C$9+1),"",IF(AND(15&gt;='节点与说明'!O31,15&lt;='节点与说明'!P31),2,IF(AND(15&gt;='节点与说明'!O31-'节点与说明'!G31,15&lt;'节点与说明'!O31),1,"")))</x:f>
      </x:c>
      <x:c r="W38" s="13" t="str">
        <x:f>IF(OR('节点与说明'!H31="不适用",16&gt;'时间线'!$C$9+1),"",IF(AND(16&gt;='节点与说明'!O31,16&lt;='节点与说明'!P31),2,IF(AND(16&gt;='节点与说明'!O31-'节点与说明'!G31,16&lt;'节点与说明'!O31),1,"")))</x:f>
      </x:c>
      <x:c r="X38" s="13" t="str">
        <x:f>IF(OR('节点与说明'!H31="不适用",17&gt;'时间线'!$C$9+1),"",IF(AND(17&gt;='节点与说明'!O31,17&lt;='节点与说明'!P31),2,IF(AND(17&gt;='节点与说明'!O31-'节点与说明'!G31,17&lt;'节点与说明'!O31),1,"")))</x:f>
      </x:c>
      <x:c r="Y38" s="13" t="str">
        <x:f>IF(OR('节点与说明'!H31="不适用",18&gt;'时间线'!$C$9+1),"",IF(AND(18&gt;='节点与说明'!O31,18&lt;='节点与说明'!P31),2,IF(AND(18&gt;='节点与说明'!O31-'节点与说明'!G31,18&lt;'节点与说明'!O31),1,"")))</x:f>
      </x:c>
      <x:c r="Z38" s="13" t="str">
        <x:f>IF(OR('节点与说明'!H31="不适用",19&gt;'时间线'!$C$9+1),"",IF(AND(19&gt;='节点与说明'!O31,19&lt;='节点与说明'!P31),2,IF(AND(19&gt;='节点与说明'!O31-'节点与说明'!G31,19&lt;'节点与说明'!O31),1,"")))</x:f>
      </x:c>
      <x:c r="AA38" s="13" t="n">
        <x:f>IF(OR('节点与说明'!H31="不适用",20&gt;'时间线'!$C$9+1),"",IF(AND(20&gt;='节点与说明'!O31,20&lt;='节点与说明'!P31),2,IF(AND(20&gt;='节点与说明'!O31-'节点与说明'!G31,20&lt;'节点与说明'!O31),1,"")))</x:f>
        <x:v>1</x:v>
      </x:c>
      <x:c r="AB38" s="13" t="n">
        <x:f>IF(OR('节点与说明'!H31="不适用",21&gt;'时间线'!$C$9+1),"",IF(AND(21&gt;='节点与说明'!O31,21&lt;='节点与说明'!P31),2,IF(AND(21&gt;='节点与说明'!O31-'节点与说明'!G31,21&lt;'节点与说明'!O31),1,"")))</x:f>
        <x:v>2</x:v>
      </x:c>
      <x:c r="AC38" s="13" t="n">
        <x:f>IF(OR('节点与说明'!H31="不适用",22&gt;'时间线'!$C$9+1),"",IF(AND(22&gt;='节点与说明'!O31,22&lt;='节点与说明'!P31),2,IF(AND(22&gt;='节点与说明'!O31-'节点与说明'!G31,22&lt;'节点与说明'!O31),1,"")))</x:f>
        <x:v>2</x:v>
      </x:c>
      <x:c r="AD38" s="13" t="n">
        <x:f>IF(OR('节点与说明'!H31="不适用",23&gt;'时间线'!$C$9+1),"",IF(AND(23&gt;='节点与说明'!O31,23&lt;='节点与说明'!P31),2,IF(AND(23&gt;='节点与说明'!O31-'节点与说明'!G31,23&lt;'节点与说明'!O31),1,"")))</x:f>
        <x:v>2</x:v>
      </x:c>
      <x:c r="AE38" s="13" t="str">
        <x:f>IF(OR('节点与说明'!H31="不适用",24&gt;'时间线'!$C$9+1),"",IF(AND(24&gt;='节点与说明'!O31,24&lt;='节点与说明'!P31),2,IF(AND(24&gt;='节点与说明'!O31-'节点与说明'!G31,24&lt;'节点与说明'!O31),1,"")))</x:f>
      </x:c>
      <x:c r="AF38" s="13" t="str">
        <x:f>IF(OR('节点与说明'!H31="不适用",25&gt;'时间线'!$C$9+1),"",IF(AND(25&gt;='节点与说明'!O31,25&lt;='节点与说明'!P31),2,IF(AND(25&gt;='节点与说明'!O31-'节点与说明'!G31,25&lt;'节点与说明'!O31),1,"")))</x:f>
      </x:c>
      <x:c r="AG38" s="13" t="str">
        <x:f>IF(OR('节点与说明'!H31="不适用",26&gt;'时间线'!$C$9+1),"",IF(AND(26&gt;='节点与说明'!O31,26&lt;='节点与说明'!P31),2,IF(AND(26&gt;='节点与说明'!O31-'节点与说明'!G31,26&lt;'节点与说明'!O31),1,"")))</x:f>
      </x:c>
      <x:c r="AH38" s="13" t="str">
        <x:f>IF(OR('节点与说明'!H31="不适用",27&gt;'时间线'!$C$9+1),"",IF(AND(27&gt;='节点与说明'!O31,27&lt;='节点与说明'!P31),2,IF(AND(27&gt;='节点与说明'!O31-'节点与说明'!G31,27&lt;'节点与说明'!O31),1,"")))</x:f>
      </x:c>
      <x:c r="AI38" s="13" t="str">
        <x:f>IF(OR('节点与说明'!H31="不适用",28&gt;'时间线'!$C$9+1),"",IF(AND(28&gt;='节点与说明'!O31,28&lt;='节点与说明'!P31),2,IF(AND(28&gt;='节点与说明'!O31-'节点与说明'!G31,28&lt;'节点与说明'!O31),1,"")))</x:f>
      </x:c>
      <x:c r="AJ38" s="13" t="str">
        <x:f>IF(OR('节点与说明'!H31="不适用",29&gt;'时间线'!$C$9+1),"",IF(AND(29&gt;='节点与说明'!O31,29&lt;='节点与说明'!P31),2,IF(AND(29&gt;='节点与说明'!O31-'节点与说明'!G31,29&lt;'节点与说明'!O31),1,"")))</x:f>
      </x:c>
      <x:c r="AK38" s="13" t="str">
        <x:f>IF(OR('节点与说明'!H31="不适用",30&gt;'时间线'!$C$9+1),"",IF(AND(30&gt;='节点与说明'!O31,30&lt;='节点与说明'!P31),2,IF(AND(30&gt;='节点与说明'!O31-'节点与说明'!G31,30&lt;'节点与说明'!O31),1,"")))</x:f>
      </x:c>
      <x:c r="AL38" s="13" t="str">
        <x:f>IF(OR('节点与说明'!H31="不适用",31&gt;'时间线'!$C$9+1),"",IF(AND(31&gt;='节点与说明'!O31,31&lt;='节点与说明'!P31),2,IF(AND(31&gt;='节点与说明'!O31-'节点与说明'!G31,31&lt;'节点与说明'!O31),1,"")))</x:f>
      </x:c>
      <x:c r="AM38" s="13" t="str">
        <x:f>IF(OR('节点与说明'!H31="不适用",32&gt;'时间线'!$C$9+1),"",IF(AND(32&gt;='节点与说明'!O31,32&lt;='节点与说明'!P31),2,IF(AND(32&gt;='节点与说明'!O31-'节点与说明'!G31,32&lt;'节点与说明'!O31),1,"")))</x:f>
      </x:c>
      <x:c r="AN38" s="13" t="str">
        <x:f>IF(OR('节点与说明'!H31="不适用",33&gt;'时间线'!$C$9+1),"",IF(AND(33&gt;='节点与说明'!O31,33&lt;='节点与说明'!P31),2,IF(AND(33&gt;='节点与说明'!O31-'节点与说明'!G31,33&lt;'节点与说明'!O31),1,"")))</x:f>
      </x:c>
      <x:c r="AO38" s="13" t="str">
        <x:f>IF(OR('节点与说明'!H31="不适用",34&gt;'时间线'!$C$9+1),"",IF(AND(34&gt;='节点与说明'!O31,34&lt;='节点与说明'!P31),2,IF(AND(34&gt;='节点与说明'!O31-'节点与说明'!G31,34&lt;'节点与说明'!O31),1,"")))</x:f>
      </x:c>
      <x:c r="AP38" s="13" t="str">
        <x:f>IF(OR('节点与说明'!H31="不适用",35&gt;'时间线'!$C$9+1),"",IF(AND(35&gt;='节点与说明'!O31,35&lt;='节点与说明'!P31),2,IF(AND(35&gt;='节点与说明'!O31-'节点与说明'!G31,35&lt;'节点与说明'!O31),1,"")))</x:f>
      </x:c>
      <x:c r="AQ38" s="2"/>
      <x:c r="AR38" s="11" t="str">
        <x:f>'节点与说明'!N31</x:f>
        <x:v>每周保留成果；同步预留秋招准备时间。</x:v>
      </x:c>
    </x:row>
    <x:row r="39" ht="38" customHeight="1">
      <x:c r="A39" s="2" t="str">
        <x:f>'节点与说明'!A32</x:f>
        <x:v>B05</x:v>
      </x:c>
      <x:c r="B39" s="17" t="str">
        <x:f>'节点与说明'!B32</x:f>
        <x:v>就业</x:v>
      </x:c>
      <x:c r="C39" s="11" t="str">
        <x:f>'节点与说明'!C32</x:f>
        <x:v>提前批与秋招准备</x:v>
      </x:c>
      <x:c r="D39" s="2" t="str">
        <x:f>'节点与说明'!H32</x:f>
        <x:v>待确认</x:v>
      </x:c>
      <x:c r="E39" s="2" t="n">
        <x:f>'节点与说明'!G32</x:f>
        <x:v>2</x:v>
      </x:c>
      <x:c r="F39" s="2" t="str">
        <x:f>'节点与说明'!S32</x:f>
        <x:v>研2·4月</x:v>
      </x:c>
      <x:c r="G39" s="13" t="str">
        <x:f>IF(OR('节点与说明'!H32="不适用",0&gt;'时间线'!$C$9+1),"",IF(AND(0&gt;='节点与说明'!O32,0&lt;='节点与说明'!P32),2,IF(AND(0&gt;='节点与说明'!O32-'节点与说明'!G32,0&lt;'节点与说明'!O32),1,"")))</x:f>
      </x:c>
      <x:c r="H39" s="13" t="str">
        <x:f>IF(OR('节点与说明'!H32="不适用",1&gt;'时间线'!$C$9+1),"",IF(AND(1&gt;='节点与说明'!O32,1&lt;='节点与说明'!P32),2,IF(AND(1&gt;='节点与说明'!O32-'节点与说明'!G32,1&lt;'节点与说明'!O32),1,"")))</x:f>
      </x:c>
      <x:c r="I39" s="13" t="str">
        <x:f>IF(OR('节点与说明'!H32="不适用",2&gt;'时间线'!$C$9+1),"",IF(AND(2&gt;='节点与说明'!O32,2&lt;='节点与说明'!P32),2,IF(AND(2&gt;='节点与说明'!O32-'节点与说明'!G32,2&lt;'节点与说明'!O32),1,"")))</x:f>
      </x:c>
      <x:c r="J39" s="13" t="str">
        <x:f>IF(OR('节点与说明'!H32="不适用",3&gt;'时间线'!$C$9+1),"",IF(AND(3&gt;='节点与说明'!O32,3&lt;='节点与说明'!P32),2,IF(AND(3&gt;='节点与说明'!O32-'节点与说明'!G32,3&lt;'节点与说明'!O32),1,"")))</x:f>
      </x:c>
      <x:c r="K39" s="13" t="str">
        <x:f>IF(OR('节点与说明'!H32="不适用",4&gt;'时间线'!$C$9+1),"",IF(AND(4&gt;='节点与说明'!O32,4&lt;='节点与说明'!P32),2,IF(AND(4&gt;='节点与说明'!O32-'节点与说明'!G32,4&lt;'节点与说明'!O32),1,"")))</x:f>
      </x:c>
      <x:c r="L39" s="13" t="str">
        <x:f>IF(OR('节点与说明'!H32="不适用",5&gt;'时间线'!$C$9+1),"",IF(AND(5&gt;='节点与说明'!O32,5&lt;='节点与说明'!P32),2,IF(AND(5&gt;='节点与说明'!O32-'节点与说明'!G32,5&lt;'节点与说明'!O32),1,"")))</x:f>
      </x:c>
      <x:c r="M39" s="13" t="str">
        <x:f>IF(OR('节点与说明'!H32="不适用",6&gt;'时间线'!$C$9+1),"",IF(AND(6&gt;='节点与说明'!O32,6&lt;='节点与说明'!P32),2,IF(AND(6&gt;='节点与说明'!O32-'节点与说明'!G32,6&lt;'节点与说明'!O32),1,"")))</x:f>
      </x:c>
      <x:c r="N39" s="13" t="str">
        <x:f>IF(OR('节点与说明'!H32="不适用",7&gt;'时间线'!$C$9+1),"",IF(AND(7&gt;='节点与说明'!O32,7&lt;='节点与说明'!P32),2,IF(AND(7&gt;='节点与说明'!O32-'节点与说明'!G32,7&lt;'节点与说明'!O32),1,"")))</x:f>
      </x:c>
      <x:c r="O39" s="13" t="str">
        <x:f>IF(OR('节点与说明'!H32="不适用",8&gt;'时间线'!$C$9+1),"",IF(AND(8&gt;='节点与说明'!O32,8&lt;='节点与说明'!P32),2,IF(AND(8&gt;='节点与说明'!O32-'节点与说明'!G32,8&lt;'节点与说明'!O32),1,"")))</x:f>
      </x:c>
      <x:c r="P39" s="13" t="str">
        <x:f>IF(OR('节点与说明'!H32="不适用",9&gt;'时间线'!$C$9+1),"",IF(AND(9&gt;='节点与说明'!O32,9&lt;='节点与说明'!P32),2,IF(AND(9&gt;='节点与说明'!O32-'节点与说明'!G32,9&lt;'节点与说明'!O32),1,"")))</x:f>
      </x:c>
      <x:c r="Q39" s="13" t="str">
        <x:f>IF(OR('节点与说明'!H32="不适用",10&gt;'时间线'!$C$9+1),"",IF(AND(10&gt;='节点与说明'!O32,10&lt;='节点与说明'!P32),2,IF(AND(10&gt;='节点与说明'!O32-'节点与说明'!G32,10&lt;'节点与说明'!O32),1,"")))</x:f>
      </x:c>
      <x:c r="R39" s="13" t="str">
        <x:f>IF(OR('节点与说明'!H32="不适用",11&gt;'时间线'!$C$9+1),"",IF(AND(11&gt;='节点与说明'!O32,11&lt;='节点与说明'!P32),2,IF(AND(11&gt;='节点与说明'!O32-'节点与说明'!G32,11&lt;'节点与说明'!O32),1,"")))</x:f>
      </x:c>
      <x:c r="S39" s="13" t="str">
        <x:f>IF(OR('节点与说明'!H32="不适用",12&gt;'时间线'!$C$9+1),"",IF(AND(12&gt;='节点与说明'!O32,12&lt;='节点与说明'!P32),2,IF(AND(12&gt;='节点与说明'!O32-'节点与说明'!G32,12&lt;'节点与说明'!O32),1,"")))</x:f>
      </x:c>
      <x:c r="T39" s="13" t="str">
        <x:f>IF(OR('节点与说明'!H32="不适用",13&gt;'时间线'!$C$9+1),"",IF(AND(13&gt;='节点与说明'!O32,13&lt;='节点与说明'!P32),2,IF(AND(13&gt;='节点与说明'!O32-'节点与说明'!G32,13&lt;'节点与说明'!O32),1,"")))</x:f>
      </x:c>
      <x:c r="U39" s="13" t="str">
        <x:f>IF(OR('节点与说明'!H32="不适用",14&gt;'时间线'!$C$9+1),"",IF(AND(14&gt;='节点与说明'!O32,14&lt;='节点与说明'!P32),2,IF(AND(14&gt;='节点与说明'!O32-'节点与说明'!G32,14&lt;'节点与说明'!O32),1,"")))</x:f>
      </x:c>
      <x:c r="V39" s="13" t="str">
        <x:f>IF(OR('节点与说明'!H32="不适用",15&gt;'时间线'!$C$9+1),"",IF(AND(15&gt;='节点与说明'!O32,15&lt;='节点与说明'!P32),2,IF(AND(15&gt;='节点与说明'!O32-'节点与说明'!G32,15&lt;'节点与说明'!O32),1,"")))</x:f>
      </x:c>
      <x:c r="W39" s="13" t="str">
        <x:f>IF(OR('节点与说明'!H32="不适用",16&gt;'时间线'!$C$9+1),"",IF(AND(16&gt;='节点与说明'!O32,16&lt;='节点与说明'!P32),2,IF(AND(16&gt;='节点与说明'!O32-'节点与说明'!G32,16&lt;'节点与说明'!O32),1,"")))</x:f>
      </x:c>
      <x:c r="X39" s="13" t="str">
        <x:f>IF(OR('节点与说明'!H32="不适用",17&gt;'时间线'!$C$9+1),"",IF(AND(17&gt;='节点与说明'!O32,17&lt;='节点与说明'!P32),2,IF(AND(17&gt;='节点与说明'!O32-'节点与说明'!G32,17&lt;'节点与说明'!O32),1,"")))</x:f>
      </x:c>
      <x:c r="Y39" s="13" t="str">
        <x:f>IF(OR('节点与说明'!H32="不适用",18&gt;'时间线'!$C$9+1),"",IF(AND(18&gt;='节点与说明'!O32,18&lt;='节点与说明'!P32),2,IF(AND(18&gt;='节点与说明'!O32-'节点与说明'!G32,18&lt;'节点与说明'!O32),1,"")))</x:f>
      </x:c>
      <x:c r="Z39" s="13" t="n">
        <x:f>IF(OR('节点与说明'!H32="不适用",19&gt;'时间线'!$C$9+1),"",IF(AND(19&gt;='节点与说明'!O32,19&lt;='节点与说明'!P32),2,IF(AND(19&gt;='节点与说明'!O32-'节点与说明'!G32,19&lt;'节点与说明'!O32),1,"")))</x:f>
        <x:v>1</x:v>
      </x:c>
      <x:c r="AA39" s="13" t="n">
        <x:f>IF(OR('节点与说明'!H32="不适用",20&gt;'时间线'!$C$9+1),"",IF(AND(20&gt;='节点与说明'!O32,20&lt;='节点与说明'!P32),2,IF(AND(20&gt;='节点与说明'!O32-'节点与说明'!G32,20&lt;'节点与说明'!O32),1,"")))</x:f>
        <x:v>1</x:v>
      </x:c>
      <x:c r="AB39" s="13" t="n">
        <x:f>IF(OR('节点与说明'!H32="不适用",21&gt;'时间线'!$C$9+1),"",IF(AND(21&gt;='节点与说明'!O32,21&lt;='节点与说明'!P32),2,IF(AND(21&gt;='节点与说明'!O32-'节点与说明'!G32,21&lt;'节点与说明'!O32),1,"")))</x:f>
        <x:v>2</x:v>
      </x:c>
      <x:c r="AC39" s="13" t="n">
        <x:f>IF(OR('节点与说明'!H32="不适用",22&gt;'时间线'!$C$9+1),"",IF(AND(22&gt;='节点与说明'!O32,22&lt;='节点与说明'!P32),2,IF(AND(22&gt;='节点与说明'!O32-'节点与说明'!G32,22&lt;'节点与说明'!O32),1,"")))</x:f>
        <x:v>2</x:v>
      </x:c>
      <x:c r="AD39" s="13" t="n">
        <x:f>IF(OR('节点与说明'!H32="不适用",23&gt;'时间线'!$C$9+1),"",IF(AND(23&gt;='节点与说明'!O32,23&lt;='节点与说明'!P32),2,IF(AND(23&gt;='节点与说明'!O32-'节点与说明'!G32,23&lt;'节点与说明'!O32),1,"")))</x:f>
        <x:v>2</x:v>
      </x:c>
      <x:c r="AE39" s="13" t="str">
        <x:f>IF(OR('节点与说明'!H32="不适用",24&gt;'时间线'!$C$9+1),"",IF(AND(24&gt;='节点与说明'!O32,24&lt;='节点与说明'!P32),2,IF(AND(24&gt;='节点与说明'!O32-'节点与说明'!G32,24&lt;'节点与说明'!O32),1,"")))</x:f>
      </x:c>
      <x:c r="AF39" s="13" t="str">
        <x:f>IF(OR('节点与说明'!H32="不适用",25&gt;'时间线'!$C$9+1),"",IF(AND(25&gt;='节点与说明'!O32,25&lt;='节点与说明'!P32),2,IF(AND(25&gt;='节点与说明'!O32-'节点与说明'!G32,25&lt;'节点与说明'!O32),1,"")))</x:f>
      </x:c>
      <x:c r="AG39" s="13" t="str">
        <x:f>IF(OR('节点与说明'!H32="不适用",26&gt;'时间线'!$C$9+1),"",IF(AND(26&gt;='节点与说明'!O32,26&lt;='节点与说明'!P32),2,IF(AND(26&gt;='节点与说明'!O32-'节点与说明'!G32,26&lt;'节点与说明'!O32),1,"")))</x:f>
      </x:c>
      <x:c r="AH39" s="13" t="str">
        <x:f>IF(OR('节点与说明'!H32="不适用",27&gt;'时间线'!$C$9+1),"",IF(AND(27&gt;='节点与说明'!O32,27&lt;='节点与说明'!P32),2,IF(AND(27&gt;='节点与说明'!O32-'节点与说明'!G32,27&lt;'节点与说明'!O32),1,"")))</x:f>
      </x:c>
      <x:c r="AI39" s="13" t="str">
        <x:f>IF(OR('节点与说明'!H32="不适用",28&gt;'时间线'!$C$9+1),"",IF(AND(28&gt;='节点与说明'!O32,28&lt;='节点与说明'!P32),2,IF(AND(28&gt;='节点与说明'!O32-'节点与说明'!G32,28&lt;'节点与说明'!O32),1,"")))</x:f>
      </x:c>
      <x:c r="AJ39" s="13" t="str">
        <x:f>IF(OR('节点与说明'!H32="不适用",29&gt;'时间线'!$C$9+1),"",IF(AND(29&gt;='节点与说明'!O32,29&lt;='节点与说明'!P32),2,IF(AND(29&gt;='节点与说明'!O32-'节点与说明'!G32,29&lt;'节点与说明'!O32),1,"")))</x:f>
      </x:c>
      <x:c r="AK39" s="13" t="str">
        <x:f>IF(OR('节点与说明'!H32="不适用",30&gt;'时间线'!$C$9+1),"",IF(AND(30&gt;='节点与说明'!O32,30&lt;='节点与说明'!P32),2,IF(AND(30&gt;='节点与说明'!O32-'节点与说明'!G32,30&lt;'节点与说明'!O32),1,"")))</x:f>
      </x:c>
      <x:c r="AL39" s="13" t="str">
        <x:f>IF(OR('节点与说明'!H32="不适用",31&gt;'时间线'!$C$9+1),"",IF(AND(31&gt;='节点与说明'!O32,31&lt;='节点与说明'!P32),2,IF(AND(31&gt;='节点与说明'!O32-'节点与说明'!G32,31&lt;'节点与说明'!O32),1,"")))</x:f>
      </x:c>
      <x:c r="AM39" s="13" t="str">
        <x:f>IF(OR('节点与说明'!H32="不适用",32&gt;'时间线'!$C$9+1),"",IF(AND(32&gt;='节点与说明'!O32,32&lt;='节点与说明'!P32),2,IF(AND(32&gt;='节点与说明'!O32-'节点与说明'!G32,32&lt;'节点与说明'!O32),1,"")))</x:f>
      </x:c>
      <x:c r="AN39" s="13" t="str">
        <x:f>IF(OR('节点与说明'!H32="不适用",33&gt;'时间线'!$C$9+1),"",IF(AND(33&gt;='节点与说明'!O32,33&lt;='节点与说明'!P32),2,IF(AND(33&gt;='节点与说明'!O32-'节点与说明'!G32,33&lt;'节点与说明'!O32),1,"")))</x:f>
      </x:c>
      <x:c r="AO39" s="13" t="str">
        <x:f>IF(OR('节点与说明'!H32="不适用",34&gt;'时间线'!$C$9+1),"",IF(AND(34&gt;='节点与说明'!O32,34&lt;='节点与说明'!P32),2,IF(AND(34&gt;='节点与说明'!O32-'节点与说明'!G32,34&lt;'节点与说明'!O32),1,"")))</x:f>
      </x:c>
      <x:c r="AP39" s="13" t="str">
        <x:f>IF(OR('节点与说明'!H32="不适用",35&gt;'时间线'!$C$9+1),"",IF(AND(35&gt;='节点与说明'!O32,35&lt;='节点与说明'!P32),2,IF(AND(35&gt;='节点与说明'!O32-'节点与说明'!G32,35&lt;'节点与说明'!O32),1,"")))</x:f>
      </x:c>
      <x:c r="AQ39" s="2"/>
      <x:c r="AR39" s="11" t="str">
        <x:f>'节点与说明'!N32</x:f>
        <x:v>提前1–2个月完成材料，不等学校大型招聘会才开始网申。</x:v>
      </x:c>
    </x:row>
    <x:row r="40" ht="38" customHeight="1">
      <x:c r="A40" s="2" t="str">
        <x:f>'节点与说明'!A33</x:f>
        <x:v>B06</x:v>
      </x:c>
      <x:c r="B40" s="17" t="str">
        <x:f>'节点与说明'!B33</x:f>
        <x:v>就业</x:v>
      </x:c>
      <x:c r="C40" s="11" t="str">
        <x:f>'节点与说明'!C33</x:f>
        <x:v>秋招集中投递与笔面试</x:v>
      </x:c>
      <x:c r="D40" s="2" t="str">
        <x:f>'节点与说明'!H33</x:f>
        <x:v>待确认</x:v>
      </x:c>
      <x:c r="E40" s="2" t="n">
        <x:f>'节点与说明'!G33</x:f>
        <x:v>2</x:v>
      </x:c>
      <x:c r="F40" s="2" t="str">
        <x:f>'节点与说明'!S33</x:f>
        <x:v>研2·7月</x:v>
      </x:c>
      <x:c r="G40" s="13" t="str">
        <x:f>IF(OR('节点与说明'!H33="不适用",0&gt;'时间线'!$C$9+1),"",IF(AND(0&gt;='节点与说明'!O33,0&lt;='节点与说明'!P33),2,IF(AND(0&gt;='节点与说明'!O33-'节点与说明'!G33,0&lt;'节点与说明'!O33),1,"")))</x:f>
      </x:c>
      <x:c r="H40" s="13" t="str">
        <x:f>IF(OR('节点与说明'!H33="不适用",1&gt;'时间线'!$C$9+1),"",IF(AND(1&gt;='节点与说明'!O33,1&lt;='节点与说明'!P33),2,IF(AND(1&gt;='节点与说明'!O33-'节点与说明'!G33,1&lt;'节点与说明'!O33),1,"")))</x:f>
      </x:c>
      <x:c r="I40" s="13" t="str">
        <x:f>IF(OR('节点与说明'!H33="不适用",2&gt;'时间线'!$C$9+1),"",IF(AND(2&gt;='节点与说明'!O33,2&lt;='节点与说明'!P33),2,IF(AND(2&gt;='节点与说明'!O33-'节点与说明'!G33,2&lt;'节点与说明'!O33),1,"")))</x:f>
      </x:c>
      <x:c r="J40" s="13" t="str">
        <x:f>IF(OR('节点与说明'!H33="不适用",3&gt;'时间线'!$C$9+1),"",IF(AND(3&gt;='节点与说明'!O33,3&lt;='节点与说明'!P33),2,IF(AND(3&gt;='节点与说明'!O33-'节点与说明'!G33,3&lt;'节点与说明'!O33),1,"")))</x:f>
      </x:c>
      <x:c r="K40" s="13" t="str">
        <x:f>IF(OR('节点与说明'!H33="不适用",4&gt;'时间线'!$C$9+1),"",IF(AND(4&gt;='节点与说明'!O33,4&lt;='节点与说明'!P33),2,IF(AND(4&gt;='节点与说明'!O33-'节点与说明'!G33,4&lt;'节点与说明'!O33),1,"")))</x:f>
      </x:c>
      <x:c r="L40" s="13" t="str">
        <x:f>IF(OR('节点与说明'!H33="不适用",5&gt;'时间线'!$C$9+1),"",IF(AND(5&gt;='节点与说明'!O33,5&lt;='节点与说明'!P33),2,IF(AND(5&gt;='节点与说明'!O33-'节点与说明'!G33,5&lt;'节点与说明'!O33),1,"")))</x:f>
      </x:c>
      <x:c r="M40" s="13" t="str">
        <x:f>IF(OR('节点与说明'!H33="不适用",6&gt;'时间线'!$C$9+1),"",IF(AND(6&gt;='节点与说明'!O33,6&lt;='节点与说明'!P33),2,IF(AND(6&gt;='节点与说明'!O33-'节点与说明'!G33,6&lt;'节点与说明'!O33),1,"")))</x:f>
      </x:c>
      <x:c r="N40" s="13" t="str">
        <x:f>IF(OR('节点与说明'!H33="不适用",7&gt;'时间线'!$C$9+1),"",IF(AND(7&gt;='节点与说明'!O33,7&lt;='节点与说明'!P33),2,IF(AND(7&gt;='节点与说明'!O33-'节点与说明'!G33,7&lt;'节点与说明'!O33),1,"")))</x:f>
      </x:c>
      <x:c r="O40" s="13" t="str">
        <x:f>IF(OR('节点与说明'!H33="不适用",8&gt;'时间线'!$C$9+1),"",IF(AND(8&gt;='节点与说明'!O33,8&lt;='节点与说明'!P33),2,IF(AND(8&gt;='节点与说明'!O33-'节点与说明'!G33,8&lt;'节点与说明'!O33),1,"")))</x:f>
      </x:c>
      <x:c r="P40" s="13" t="str">
        <x:f>IF(OR('节点与说明'!H33="不适用",9&gt;'时间线'!$C$9+1),"",IF(AND(9&gt;='节点与说明'!O33,9&lt;='节点与说明'!P33),2,IF(AND(9&gt;='节点与说明'!O33-'节点与说明'!G33,9&lt;'节点与说明'!O33),1,"")))</x:f>
      </x:c>
      <x:c r="Q40" s="13" t="str">
        <x:f>IF(OR('节点与说明'!H33="不适用",10&gt;'时间线'!$C$9+1),"",IF(AND(10&gt;='节点与说明'!O33,10&lt;='节点与说明'!P33),2,IF(AND(10&gt;='节点与说明'!O33-'节点与说明'!G33,10&lt;'节点与说明'!O33),1,"")))</x:f>
      </x:c>
      <x:c r="R40" s="13" t="str">
        <x:f>IF(OR('节点与说明'!H33="不适用",11&gt;'时间线'!$C$9+1),"",IF(AND(11&gt;='节点与说明'!O33,11&lt;='节点与说明'!P33),2,IF(AND(11&gt;='节点与说明'!O33-'节点与说明'!G33,11&lt;'节点与说明'!O33),1,"")))</x:f>
      </x:c>
      <x:c r="S40" s="13" t="str">
        <x:f>IF(OR('节点与说明'!H33="不适用",12&gt;'时间线'!$C$9+1),"",IF(AND(12&gt;='节点与说明'!O33,12&lt;='节点与说明'!P33),2,IF(AND(12&gt;='节点与说明'!O33-'节点与说明'!G33,12&lt;'节点与说明'!O33),1,"")))</x:f>
      </x:c>
      <x:c r="T40" s="13" t="str">
        <x:f>IF(OR('节点与说明'!H33="不适用",13&gt;'时间线'!$C$9+1),"",IF(AND(13&gt;='节点与说明'!O33,13&lt;='节点与说明'!P33),2,IF(AND(13&gt;='节点与说明'!O33-'节点与说明'!G33,13&lt;'节点与说明'!O33),1,"")))</x:f>
      </x:c>
      <x:c r="U40" s="13" t="str">
        <x:f>IF(OR('节点与说明'!H33="不适用",14&gt;'时间线'!$C$9+1),"",IF(AND(14&gt;='节点与说明'!O33,14&lt;='节点与说明'!P33),2,IF(AND(14&gt;='节点与说明'!O33-'节点与说明'!G33,14&lt;'节点与说明'!O33),1,"")))</x:f>
      </x:c>
      <x:c r="V40" s="13" t="str">
        <x:f>IF(OR('节点与说明'!H33="不适用",15&gt;'时间线'!$C$9+1),"",IF(AND(15&gt;='节点与说明'!O33,15&lt;='节点与说明'!P33),2,IF(AND(15&gt;='节点与说明'!O33-'节点与说明'!G33,15&lt;'节点与说明'!O33),1,"")))</x:f>
      </x:c>
      <x:c r="W40" s="13" t="str">
        <x:f>IF(OR('节点与说明'!H33="不适用",16&gt;'时间线'!$C$9+1),"",IF(AND(16&gt;='节点与说明'!O33,16&lt;='节点与说明'!P33),2,IF(AND(16&gt;='节点与说明'!O33-'节点与说明'!G33,16&lt;'节点与说明'!O33),1,"")))</x:f>
      </x:c>
      <x:c r="X40" s="13" t="str">
        <x:f>IF(OR('节点与说明'!H33="不适用",17&gt;'时间线'!$C$9+1),"",IF(AND(17&gt;='节点与说明'!O33,17&lt;='节点与说明'!P33),2,IF(AND(17&gt;='节点与说明'!O33-'节点与说明'!G33,17&lt;'节点与说明'!O33),1,"")))</x:f>
      </x:c>
      <x:c r="Y40" s="13" t="str">
        <x:f>IF(OR('节点与说明'!H33="不适用",18&gt;'时间线'!$C$9+1),"",IF(AND(18&gt;='节点与说明'!O33,18&lt;='节点与说明'!P33),2,IF(AND(18&gt;='节点与说明'!O33-'节点与说明'!G33,18&lt;'节点与说明'!O33),1,"")))</x:f>
      </x:c>
      <x:c r="Z40" s="13" t="str">
        <x:f>IF(OR('节点与说明'!H33="不适用",19&gt;'时间线'!$C$9+1),"",IF(AND(19&gt;='节点与说明'!O33,19&lt;='节点与说明'!P33),2,IF(AND(19&gt;='节点与说明'!O33-'节点与说明'!G33,19&lt;'节点与说明'!O33),1,"")))</x:f>
      </x:c>
      <x:c r="AA40" s="13" t="str">
        <x:f>IF(OR('节点与说明'!H33="不适用",20&gt;'时间线'!$C$9+1),"",IF(AND(20&gt;='节点与说明'!O33,20&lt;='节点与说明'!P33),2,IF(AND(20&gt;='节点与说明'!O33-'节点与说明'!G33,20&lt;'节点与说明'!O33),1,"")))</x:f>
      </x:c>
      <x:c r="AB40" s="13" t="str">
        <x:f>IF(OR('节点与说明'!H33="不适用",21&gt;'时间线'!$C$9+1),"",IF(AND(21&gt;='节点与说明'!O33,21&lt;='节点与说明'!P33),2,IF(AND(21&gt;='节点与说明'!O33-'节点与说明'!G33,21&lt;'节点与说明'!O33),1,"")))</x:f>
      </x:c>
      <x:c r="AC40" s="13" t="n">
        <x:f>IF(OR('节点与说明'!H33="不适用",22&gt;'时间线'!$C$9+1),"",IF(AND(22&gt;='节点与说明'!O33,22&lt;='节点与说明'!P33),2,IF(AND(22&gt;='节点与说明'!O33-'节点与说明'!G33,22&lt;'节点与说明'!O33),1,"")))</x:f>
        <x:v>1</x:v>
      </x:c>
      <x:c r="AD40" s="13" t="n">
        <x:f>IF(OR('节点与说明'!H33="不适用",23&gt;'时间线'!$C$9+1),"",IF(AND(23&gt;='节点与说明'!O33,23&lt;='节点与说明'!P33),2,IF(AND(23&gt;='节点与说明'!O33-'节点与说明'!G33,23&lt;'节点与说明'!O33),1,"")))</x:f>
        <x:v>1</x:v>
      </x:c>
      <x:c r="AE40" s="13" t="n">
        <x:f>IF(OR('节点与说明'!H33="不适用",24&gt;'时间线'!$C$9+1),"",IF(AND(24&gt;='节点与说明'!O33,24&lt;='节点与说明'!P33),2,IF(AND(24&gt;='节点与说明'!O33-'节点与说明'!G33,24&lt;'节点与说明'!O33),1,"")))</x:f>
        <x:v>2</x:v>
      </x:c>
      <x:c r="AF40" s="13" t="n">
        <x:f>IF(OR('节点与说明'!H33="不适用",25&gt;'时间线'!$C$9+1),"",IF(AND(25&gt;='节点与说明'!O33,25&lt;='节点与说明'!P33),2,IF(AND(25&gt;='节点与说明'!O33-'节点与说明'!G33,25&lt;'节点与说明'!O33),1,"")))</x:f>
        <x:v>2</x:v>
      </x:c>
      <x:c r="AG40" s="13" t="n">
        <x:f>IF(OR('节点与说明'!H33="不适用",26&gt;'时间线'!$C$9+1),"",IF(AND(26&gt;='节点与说明'!O33,26&lt;='节点与说明'!P33),2,IF(AND(26&gt;='节点与说明'!O33-'节点与说明'!G33,26&lt;'节点与说明'!O33),1,"")))</x:f>
        <x:v>2</x:v>
      </x:c>
      <x:c r="AH40" s="13" t="str">
        <x:f>IF(OR('节点与说明'!H33="不适用",27&gt;'时间线'!$C$9+1),"",IF(AND(27&gt;='节点与说明'!O33,27&lt;='节点与说明'!P33),2,IF(AND(27&gt;='节点与说明'!O33-'节点与说明'!G33,27&lt;'节点与说明'!O33),1,"")))</x:f>
      </x:c>
      <x:c r="AI40" s="13" t="str">
        <x:f>IF(OR('节点与说明'!H33="不适用",28&gt;'时间线'!$C$9+1),"",IF(AND(28&gt;='节点与说明'!O33,28&lt;='节点与说明'!P33),2,IF(AND(28&gt;='节点与说明'!O33-'节点与说明'!G33,28&lt;'节点与说明'!O33),1,"")))</x:f>
      </x:c>
      <x:c r="AJ40" s="13" t="str">
        <x:f>IF(OR('节点与说明'!H33="不适用",29&gt;'时间线'!$C$9+1),"",IF(AND(29&gt;='节点与说明'!O33,29&lt;='节点与说明'!P33),2,IF(AND(29&gt;='节点与说明'!O33-'节点与说明'!G33,29&lt;'节点与说明'!O33),1,"")))</x:f>
      </x:c>
      <x:c r="AK40" s="13" t="str">
        <x:f>IF(OR('节点与说明'!H33="不适用",30&gt;'时间线'!$C$9+1),"",IF(AND(30&gt;='节点与说明'!O33,30&lt;='节点与说明'!P33),2,IF(AND(30&gt;='节点与说明'!O33-'节点与说明'!G33,30&lt;'节点与说明'!O33),1,"")))</x:f>
      </x:c>
      <x:c r="AL40" s="13" t="str">
        <x:f>IF(OR('节点与说明'!H33="不适用",31&gt;'时间线'!$C$9+1),"",IF(AND(31&gt;='节点与说明'!O33,31&lt;='节点与说明'!P33),2,IF(AND(31&gt;='节点与说明'!O33-'节点与说明'!G33,31&lt;'节点与说明'!O33),1,"")))</x:f>
      </x:c>
      <x:c r="AM40" s="13" t="str">
        <x:f>IF(OR('节点与说明'!H33="不适用",32&gt;'时间线'!$C$9+1),"",IF(AND(32&gt;='节点与说明'!O33,32&lt;='节点与说明'!P33),2,IF(AND(32&gt;='节点与说明'!O33-'节点与说明'!G33,32&lt;'节点与说明'!O33),1,"")))</x:f>
      </x:c>
      <x:c r="AN40" s="13" t="str">
        <x:f>IF(OR('节点与说明'!H33="不适用",33&gt;'时间线'!$C$9+1),"",IF(AND(33&gt;='节点与说明'!O33,33&lt;='节点与说明'!P33),2,IF(AND(33&gt;='节点与说明'!O33-'节点与说明'!G33,33&lt;'节点与说明'!O33),1,"")))</x:f>
      </x:c>
      <x:c r="AO40" s="13" t="str">
        <x:f>IF(OR('节点与说明'!H33="不适用",34&gt;'时间线'!$C$9+1),"",IF(AND(34&gt;='节点与说明'!O33,34&lt;='节点与说明'!P33),2,IF(AND(34&gt;='节点与说明'!O33-'节点与说明'!G33,34&lt;'节点与说明'!O33),1,"")))</x:f>
      </x:c>
      <x:c r="AP40" s="13" t="str">
        <x:f>IF(OR('节点与说明'!H33="不适用",35&gt;'时间线'!$C$9+1),"",IF(AND(35&gt;='节点与说明'!O33,35&lt;='节点与说明'!P33),2,IF(AND(35&gt;='节点与说明'!O33-'节点与说明'!G33,35&lt;'节点与说明'!O33),1,"")))</x:f>
      </x:c>
      <x:c r="AQ40" s="2"/>
      <x:c r="AR40" s="11" t="str">
        <x:f>'节点与说明'!N33</x:f>
        <x:v>8月前准备材料；每周两次集中投递复盘并跟进截止。</x:v>
      </x:c>
    </x:row>
    <x:row r="41" ht="38" customHeight="1">
      <x:c r="A41" s="2" t="str">
        <x:f>'节点与说明'!A34</x:f>
        <x:v>B07</x:v>
      </x:c>
      <x:c r="B41" s="17" t="str">
        <x:f>'节点与说明'!B34</x:f>
        <x:v>就业</x:v>
      </x:c>
      <x:c r="C41" s="11" t="str">
        <x:f>'节点与说明'!C34</x:f>
        <x:v>Offer比较与补录关注</x:v>
      </x:c>
      <x:c r="D41" s="2" t="str">
        <x:f>'节点与说明'!H34</x:f>
        <x:v>待确认</x:v>
      </x:c>
      <x:c r="E41" s="2" t="n">
        <x:f>'节点与说明'!G34</x:f>
        <x:v>0</x:v>
      </x:c>
      <x:c r="F41" s="2" t="str">
        <x:f>'节点与说明'!S34</x:f>
        <x:v>研3·11月</x:v>
      </x:c>
      <x:c r="G41" s="13" t="str">
        <x:f>IF(OR('节点与说明'!H34="不适用",0&gt;'时间线'!$C$9+1),"",IF(AND(0&gt;='节点与说明'!O34,0&lt;='节点与说明'!P34),2,IF(AND(0&gt;='节点与说明'!O34-'节点与说明'!G34,0&lt;'节点与说明'!O34),1,"")))</x:f>
      </x:c>
      <x:c r="H41" s="13" t="str">
        <x:f>IF(OR('节点与说明'!H34="不适用",1&gt;'时间线'!$C$9+1),"",IF(AND(1&gt;='节点与说明'!O34,1&lt;='节点与说明'!P34),2,IF(AND(1&gt;='节点与说明'!O34-'节点与说明'!G34,1&lt;'节点与说明'!O34),1,"")))</x:f>
      </x:c>
      <x:c r="I41" s="13" t="str">
        <x:f>IF(OR('节点与说明'!H34="不适用",2&gt;'时间线'!$C$9+1),"",IF(AND(2&gt;='节点与说明'!O34,2&lt;='节点与说明'!P34),2,IF(AND(2&gt;='节点与说明'!O34-'节点与说明'!G34,2&lt;'节点与说明'!O34),1,"")))</x:f>
      </x:c>
      <x:c r="J41" s="13" t="str">
        <x:f>IF(OR('节点与说明'!H34="不适用",3&gt;'时间线'!$C$9+1),"",IF(AND(3&gt;='节点与说明'!O34,3&lt;='节点与说明'!P34),2,IF(AND(3&gt;='节点与说明'!O34-'节点与说明'!G34,3&lt;'节点与说明'!O34),1,"")))</x:f>
      </x:c>
      <x:c r="K41" s="13" t="str">
        <x:f>IF(OR('节点与说明'!H34="不适用",4&gt;'时间线'!$C$9+1),"",IF(AND(4&gt;='节点与说明'!O34,4&lt;='节点与说明'!P34),2,IF(AND(4&gt;='节点与说明'!O34-'节点与说明'!G34,4&lt;'节点与说明'!O34),1,"")))</x:f>
      </x:c>
      <x:c r="L41" s="13" t="str">
        <x:f>IF(OR('节点与说明'!H34="不适用",5&gt;'时间线'!$C$9+1),"",IF(AND(5&gt;='节点与说明'!O34,5&lt;='节点与说明'!P34),2,IF(AND(5&gt;='节点与说明'!O34-'节点与说明'!G34,5&lt;'节点与说明'!O34),1,"")))</x:f>
      </x:c>
      <x:c r="M41" s="13" t="str">
        <x:f>IF(OR('节点与说明'!H34="不适用",6&gt;'时间线'!$C$9+1),"",IF(AND(6&gt;='节点与说明'!O34,6&lt;='节点与说明'!P34),2,IF(AND(6&gt;='节点与说明'!O34-'节点与说明'!G34,6&lt;'节点与说明'!O34),1,"")))</x:f>
      </x:c>
      <x:c r="N41" s="13" t="str">
        <x:f>IF(OR('节点与说明'!H34="不适用",7&gt;'时间线'!$C$9+1),"",IF(AND(7&gt;='节点与说明'!O34,7&lt;='节点与说明'!P34),2,IF(AND(7&gt;='节点与说明'!O34-'节点与说明'!G34,7&lt;'节点与说明'!O34),1,"")))</x:f>
      </x:c>
      <x:c r="O41" s="13" t="str">
        <x:f>IF(OR('节点与说明'!H34="不适用",8&gt;'时间线'!$C$9+1),"",IF(AND(8&gt;='节点与说明'!O34,8&lt;='节点与说明'!P34),2,IF(AND(8&gt;='节点与说明'!O34-'节点与说明'!G34,8&lt;'节点与说明'!O34),1,"")))</x:f>
      </x:c>
      <x:c r="P41" s="13" t="str">
        <x:f>IF(OR('节点与说明'!H34="不适用",9&gt;'时间线'!$C$9+1),"",IF(AND(9&gt;='节点与说明'!O34,9&lt;='节点与说明'!P34),2,IF(AND(9&gt;='节点与说明'!O34-'节点与说明'!G34,9&lt;'节点与说明'!O34),1,"")))</x:f>
      </x:c>
      <x:c r="Q41" s="13" t="str">
        <x:f>IF(OR('节点与说明'!H34="不适用",10&gt;'时间线'!$C$9+1),"",IF(AND(10&gt;='节点与说明'!O34,10&lt;='节点与说明'!P34),2,IF(AND(10&gt;='节点与说明'!O34-'节点与说明'!G34,10&lt;'节点与说明'!O34),1,"")))</x:f>
      </x:c>
      <x:c r="R41" s="13" t="str">
        <x:f>IF(OR('节点与说明'!H34="不适用",11&gt;'时间线'!$C$9+1),"",IF(AND(11&gt;='节点与说明'!O34,11&lt;='节点与说明'!P34),2,IF(AND(11&gt;='节点与说明'!O34-'节点与说明'!G34,11&lt;'节点与说明'!O34),1,"")))</x:f>
      </x:c>
      <x:c r="S41" s="13" t="str">
        <x:f>IF(OR('节点与说明'!H34="不适用",12&gt;'时间线'!$C$9+1),"",IF(AND(12&gt;='节点与说明'!O34,12&lt;='节点与说明'!P34),2,IF(AND(12&gt;='节点与说明'!O34-'节点与说明'!G34,12&lt;'节点与说明'!O34),1,"")))</x:f>
      </x:c>
      <x:c r="T41" s="13" t="str">
        <x:f>IF(OR('节点与说明'!H34="不适用",13&gt;'时间线'!$C$9+1),"",IF(AND(13&gt;='节点与说明'!O34,13&lt;='节点与说明'!P34),2,IF(AND(13&gt;='节点与说明'!O34-'节点与说明'!G34,13&lt;'节点与说明'!O34),1,"")))</x:f>
      </x:c>
      <x:c r="U41" s="13" t="str">
        <x:f>IF(OR('节点与说明'!H34="不适用",14&gt;'时间线'!$C$9+1),"",IF(AND(14&gt;='节点与说明'!O34,14&lt;='节点与说明'!P34),2,IF(AND(14&gt;='节点与说明'!O34-'节点与说明'!G34,14&lt;'节点与说明'!O34),1,"")))</x:f>
      </x:c>
      <x:c r="V41" s="13" t="str">
        <x:f>IF(OR('节点与说明'!H34="不适用",15&gt;'时间线'!$C$9+1),"",IF(AND(15&gt;='节点与说明'!O34,15&lt;='节点与说明'!P34),2,IF(AND(15&gt;='节点与说明'!O34-'节点与说明'!G34,15&lt;'节点与说明'!O34),1,"")))</x:f>
      </x:c>
      <x:c r="W41" s="13" t="str">
        <x:f>IF(OR('节点与说明'!H34="不适用",16&gt;'时间线'!$C$9+1),"",IF(AND(16&gt;='节点与说明'!O34,16&lt;='节点与说明'!P34),2,IF(AND(16&gt;='节点与说明'!O34-'节点与说明'!G34,16&lt;'节点与说明'!O34),1,"")))</x:f>
      </x:c>
      <x:c r="X41" s="13" t="str">
        <x:f>IF(OR('节点与说明'!H34="不适用",17&gt;'时间线'!$C$9+1),"",IF(AND(17&gt;='节点与说明'!O34,17&lt;='节点与说明'!P34),2,IF(AND(17&gt;='节点与说明'!O34-'节点与说明'!G34,17&lt;'节点与说明'!O34),1,"")))</x:f>
      </x:c>
      <x:c r="Y41" s="13" t="str">
        <x:f>IF(OR('节点与说明'!H34="不适用",18&gt;'时间线'!$C$9+1),"",IF(AND(18&gt;='节点与说明'!O34,18&lt;='节点与说明'!P34),2,IF(AND(18&gt;='节点与说明'!O34-'节点与说明'!G34,18&lt;'节点与说明'!O34),1,"")))</x:f>
      </x:c>
      <x:c r="Z41" s="13" t="str">
        <x:f>IF(OR('节点与说明'!H34="不适用",19&gt;'时间线'!$C$9+1),"",IF(AND(19&gt;='节点与说明'!O34,19&lt;='节点与说明'!P34),2,IF(AND(19&gt;='节点与说明'!O34-'节点与说明'!G34,19&lt;'节点与说明'!O34),1,"")))</x:f>
      </x:c>
      <x:c r="AA41" s="13" t="str">
        <x:f>IF(OR('节点与说明'!H34="不适用",20&gt;'时间线'!$C$9+1),"",IF(AND(20&gt;='节点与说明'!O34,20&lt;='节点与说明'!P34),2,IF(AND(20&gt;='节点与说明'!O34-'节点与说明'!G34,20&lt;'节点与说明'!O34),1,"")))</x:f>
      </x:c>
      <x:c r="AB41" s="13" t="str">
        <x:f>IF(OR('节点与说明'!H34="不适用",21&gt;'时间线'!$C$9+1),"",IF(AND(21&gt;='节点与说明'!O34,21&lt;='节点与说明'!P34),2,IF(AND(21&gt;='节点与说明'!O34-'节点与说明'!G34,21&lt;'节点与说明'!O34),1,"")))</x:f>
      </x:c>
      <x:c r="AC41" s="13" t="str">
        <x:f>IF(OR('节点与说明'!H34="不适用",22&gt;'时间线'!$C$9+1),"",IF(AND(22&gt;='节点与说明'!O34,22&lt;='节点与说明'!P34),2,IF(AND(22&gt;='节点与说明'!O34-'节点与说明'!G34,22&lt;'节点与说明'!O34),1,"")))</x:f>
      </x:c>
      <x:c r="AD41" s="13" t="str">
        <x:f>IF(OR('节点与说明'!H34="不适用",23&gt;'时间线'!$C$9+1),"",IF(AND(23&gt;='节点与说明'!O34,23&lt;='节点与说明'!P34),2,IF(AND(23&gt;='节点与说明'!O34-'节点与说明'!G34,23&lt;'节点与说明'!O34),1,"")))</x:f>
      </x:c>
      <x:c r="AE41" s="13" t="str">
        <x:f>IF(OR('节点与说明'!H34="不适用",24&gt;'时间线'!$C$9+1),"",IF(AND(24&gt;='节点与说明'!O34,24&lt;='节点与说明'!P34),2,IF(AND(24&gt;='节点与说明'!O34-'节点与说明'!G34,24&lt;'节点与说明'!O34),1,"")))</x:f>
      </x:c>
      <x:c r="AF41" s="13" t="str">
        <x:f>IF(OR('节点与说明'!H34="不适用",25&gt;'时间线'!$C$9+1),"",IF(AND(25&gt;='节点与说明'!O34,25&lt;='节点与说明'!P34),2,IF(AND(25&gt;='节点与说明'!O34-'节点与说明'!G34,25&lt;'节点与说明'!O34),1,"")))</x:f>
      </x:c>
      <x:c r="AG41" s="13" t="n">
        <x:f>IF(OR('节点与说明'!H34="不适用",26&gt;'时间线'!$C$9+1),"",IF(AND(26&gt;='节点与说明'!O34,26&lt;='节点与说明'!P34),2,IF(AND(26&gt;='节点与说明'!O34-'节点与说明'!G34,26&lt;'节点与说明'!O34),1,"")))</x:f>
        <x:v>2</x:v>
      </x:c>
      <x:c r="AH41" s="13" t="n">
        <x:f>IF(OR('节点与说明'!H34="不适用",27&gt;'时间线'!$C$9+1),"",IF(AND(27&gt;='节点与说明'!O34,27&lt;='节点与说明'!P34),2,IF(AND(27&gt;='节点与说明'!O34-'节点与说明'!G34,27&lt;'节点与说明'!O34),1,"")))</x:f>
        <x:v>2</x:v>
      </x:c>
      <x:c r="AI41" s="13" t="n">
        <x:f>IF(OR('节点与说明'!H34="不适用",28&gt;'时间线'!$C$9+1),"",IF(AND(28&gt;='节点与说明'!O34,28&lt;='节点与说明'!P34),2,IF(AND(28&gt;='节点与说明'!O34-'节点与说明'!G34,28&lt;'节点与说明'!O34),1,"")))</x:f>
        <x:v>2</x:v>
      </x:c>
      <x:c r="AJ41" s="13" t="str">
        <x:f>IF(OR('节点与说明'!H34="不适用",29&gt;'时间线'!$C$9+1),"",IF(AND(29&gt;='节点与说明'!O34,29&lt;='节点与说明'!P34),2,IF(AND(29&gt;='节点与说明'!O34-'节点与说明'!G34,29&lt;'节点与说明'!O34),1,"")))</x:f>
      </x:c>
      <x:c r="AK41" s="13" t="str">
        <x:f>IF(OR('节点与说明'!H34="不适用",30&gt;'时间线'!$C$9+1),"",IF(AND(30&gt;='节点与说明'!O34,30&lt;='节点与说明'!P34),2,IF(AND(30&gt;='节点与说明'!O34-'节点与说明'!G34,30&lt;'节点与说明'!O34),1,"")))</x:f>
      </x:c>
      <x:c r="AL41" s="13" t="str">
        <x:f>IF(OR('节点与说明'!H34="不适用",31&gt;'时间线'!$C$9+1),"",IF(AND(31&gt;='节点与说明'!O34,31&lt;='节点与说明'!P34),2,IF(AND(31&gt;='节点与说明'!O34-'节点与说明'!G34,31&lt;'节点与说明'!O34),1,"")))</x:f>
      </x:c>
      <x:c r="AM41" s="13" t="str">
        <x:f>IF(OR('节点与说明'!H34="不适用",32&gt;'时间线'!$C$9+1),"",IF(AND(32&gt;='节点与说明'!O34,32&lt;='节点与说明'!P34),2,IF(AND(32&gt;='节点与说明'!O34-'节点与说明'!G34,32&lt;'节点与说明'!O34),1,"")))</x:f>
      </x:c>
      <x:c r="AN41" s="13" t="str">
        <x:f>IF(OR('节点与说明'!H34="不适用",33&gt;'时间线'!$C$9+1),"",IF(AND(33&gt;='节点与说明'!O34,33&lt;='节点与说明'!P34),2,IF(AND(33&gt;='节点与说明'!O34-'节点与说明'!G34,33&lt;'节点与说明'!O34),1,"")))</x:f>
      </x:c>
      <x:c r="AO41" s="13" t="str">
        <x:f>IF(OR('节点与说明'!H34="不适用",34&gt;'时间线'!$C$9+1),"",IF(AND(34&gt;='节点与说明'!O34,34&lt;='节点与说明'!P34),2,IF(AND(34&gt;='节点与说明'!O34-'节点与说明'!G34,34&lt;'节点与说明'!O34),1,"")))</x:f>
      </x:c>
      <x:c r="AP41" s="13" t="str">
        <x:f>IF(OR('节点与说明'!H34="不适用",35&gt;'时间线'!$C$9+1),"",IF(AND(35&gt;='节点与说明'!O34,35&lt;='节点与说明'!P34),2,IF(AND(35&gt;='节点与说明'!O34-'节点与说明'!G34,35&lt;'节点与说明'!O34),1,"")))</x:f>
      </x:c>
      <x:c r="AQ41" s="2"/>
      <x:c r="AR41" s="11" t="str">
        <x:f>'节点与说明'!N34</x:f>
        <x:v>收到后及时阅读约定，明确答复期限，勿仅按薪资一项排序。</x:v>
      </x:c>
    </x:row>
    <x:row r="42" ht="38" customHeight="1">
      <x:c r="A42" s="2" t="str">
        <x:f>'节点与说明'!A35</x:f>
        <x:v>B08</x:v>
      </x:c>
      <x:c r="B42" s="17" t="str">
        <x:f>'节点与说明'!B35</x:f>
        <x:v>就业</x:v>
      </x:c>
      <x:c r="C42" s="11" t="str">
        <x:f>'节点与说明'!C35</x:f>
        <x:v>春招与岗位补录</x:v>
      </x:c>
      <x:c r="D42" s="2" t="str">
        <x:f>'节点与说明'!H35</x:f>
        <x:v>待确认</x:v>
      </x:c>
      <x:c r="E42" s="2" t="n">
        <x:f>'节点与说明'!G35</x:f>
        <x:v>1</x:v>
      </x:c>
      <x:c r="F42" s="2" t="str">
        <x:f>'节点与说明'!S35</x:f>
        <x:v>研3·1月</x:v>
      </x:c>
      <x:c r="G42" s="13" t="str">
        <x:f>IF(OR('节点与说明'!H35="不适用",0&gt;'时间线'!$C$9+1),"",IF(AND(0&gt;='节点与说明'!O35,0&lt;='节点与说明'!P35),2,IF(AND(0&gt;='节点与说明'!O35-'节点与说明'!G35,0&lt;'节点与说明'!O35),1,"")))</x:f>
      </x:c>
      <x:c r="H42" s="13" t="str">
        <x:f>IF(OR('节点与说明'!H35="不适用",1&gt;'时间线'!$C$9+1),"",IF(AND(1&gt;='节点与说明'!O35,1&lt;='节点与说明'!P35),2,IF(AND(1&gt;='节点与说明'!O35-'节点与说明'!G35,1&lt;'节点与说明'!O35),1,"")))</x:f>
      </x:c>
      <x:c r="I42" s="13" t="str">
        <x:f>IF(OR('节点与说明'!H35="不适用",2&gt;'时间线'!$C$9+1),"",IF(AND(2&gt;='节点与说明'!O35,2&lt;='节点与说明'!P35),2,IF(AND(2&gt;='节点与说明'!O35-'节点与说明'!G35,2&lt;'节点与说明'!O35),1,"")))</x:f>
      </x:c>
      <x:c r="J42" s="13" t="str">
        <x:f>IF(OR('节点与说明'!H35="不适用",3&gt;'时间线'!$C$9+1),"",IF(AND(3&gt;='节点与说明'!O35,3&lt;='节点与说明'!P35),2,IF(AND(3&gt;='节点与说明'!O35-'节点与说明'!G35,3&lt;'节点与说明'!O35),1,"")))</x:f>
      </x:c>
      <x:c r="K42" s="13" t="str">
        <x:f>IF(OR('节点与说明'!H35="不适用",4&gt;'时间线'!$C$9+1),"",IF(AND(4&gt;='节点与说明'!O35,4&lt;='节点与说明'!P35),2,IF(AND(4&gt;='节点与说明'!O35-'节点与说明'!G35,4&lt;'节点与说明'!O35),1,"")))</x:f>
      </x:c>
      <x:c r="L42" s="13" t="str">
        <x:f>IF(OR('节点与说明'!H35="不适用",5&gt;'时间线'!$C$9+1),"",IF(AND(5&gt;='节点与说明'!O35,5&lt;='节点与说明'!P35),2,IF(AND(5&gt;='节点与说明'!O35-'节点与说明'!G35,5&lt;'节点与说明'!O35),1,"")))</x:f>
      </x:c>
      <x:c r="M42" s="13" t="str">
        <x:f>IF(OR('节点与说明'!H35="不适用",6&gt;'时间线'!$C$9+1),"",IF(AND(6&gt;='节点与说明'!O35,6&lt;='节点与说明'!P35),2,IF(AND(6&gt;='节点与说明'!O35-'节点与说明'!G35,6&lt;'节点与说明'!O35),1,"")))</x:f>
      </x:c>
      <x:c r="N42" s="13" t="str">
        <x:f>IF(OR('节点与说明'!H35="不适用",7&gt;'时间线'!$C$9+1),"",IF(AND(7&gt;='节点与说明'!O35,7&lt;='节点与说明'!P35),2,IF(AND(7&gt;='节点与说明'!O35-'节点与说明'!G35,7&lt;'节点与说明'!O35),1,"")))</x:f>
      </x:c>
      <x:c r="O42" s="13" t="str">
        <x:f>IF(OR('节点与说明'!H35="不适用",8&gt;'时间线'!$C$9+1),"",IF(AND(8&gt;='节点与说明'!O35,8&lt;='节点与说明'!P35),2,IF(AND(8&gt;='节点与说明'!O35-'节点与说明'!G35,8&lt;'节点与说明'!O35),1,"")))</x:f>
      </x:c>
      <x:c r="P42" s="13" t="str">
        <x:f>IF(OR('节点与说明'!H35="不适用",9&gt;'时间线'!$C$9+1),"",IF(AND(9&gt;='节点与说明'!O35,9&lt;='节点与说明'!P35),2,IF(AND(9&gt;='节点与说明'!O35-'节点与说明'!G35,9&lt;'节点与说明'!O35),1,"")))</x:f>
      </x:c>
      <x:c r="Q42" s="13" t="str">
        <x:f>IF(OR('节点与说明'!H35="不适用",10&gt;'时间线'!$C$9+1),"",IF(AND(10&gt;='节点与说明'!O35,10&lt;='节点与说明'!P35),2,IF(AND(10&gt;='节点与说明'!O35-'节点与说明'!G35,10&lt;'节点与说明'!O35),1,"")))</x:f>
      </x:c>
      <x:c r="R42" s="13" t="str">
        <x:f>IF(OR('节点与说明'!H35="不适用",11&gt;'时间线'!$C$9+1),"",IF(AND(11&gt;='节点与说明'!O35,11&lt;='节点与说明'!P35),2,IF(AND(11&gt;='节点与说明'!O35-'节点与说明'!G35,11&lt;'节点与说明'!O35),1,"")))</x:f>
      </x:c>
      <x:c r="S42" s="13" t="str">
        <x:f>IF(OR('节点与说明'!H35="不适用",12&gt;'时间线'!$C$9+1),"",IF(AND(12&gt;='节点与说明'!O35,12&lt;='节点与说明'!P35),2,IF(AND(12&gt;='节点与说明'!O35-'节点与说明'!G35,12&lt;'节点与说明'!O35),1,"")))</x:f>
      </x:c>
      <x:c r="T42" s="13" t="str">
        <x:f>IF(OR('节点与说明'!H35="不适用",13&gt;'时间线'!$C$9+1),"",IF(AND(13&gt;='节点与说明'!O35,13&lt;='节点与说明'!P35),2,IF(AND(13&gt;='节点与说明'!O35-'节点与说明'!G35,13&lt;'节点与说明'!O35),1,"")))</x:f>
      </x:c>
      <x:c r="U42" s="13" t="str">
        <x:f>IF(OR('节点与说明'!H35="不适用",14&gt;'时间线'!$C$9+1),"",IF(AND(14&gt;='节点与说明'!O35,14&lt;='节点与说明'!P35),2,IF(AND(14&gt;='节点与说明'!O35-'节点与说明'!G35,14&lt;'节点与说明'!O35),1,"")))</x:f>
      </x:c>
      <x:c r="V42" s="13" t="str">
        <x:f>IF(OR('节点与说明'!H35="不适用",15&gt;'时间线'!$C$9+1),"",IF(AND(15&gt;='节点与说明'!O35,15&lt;='节点与说明'!P35),2,IF(AND(15&gt;='节点与说明'!O35-'节点与说明'!G35,15&lt;'节点与说明'!O35),1,"")))</x:f>
      </x:c>
      <x:c r="W42" s="13" t="str">
        <x:f>IF(OR('节点与说明'!H35="不适用",16&gt;'时间线'!$C$9+1),"",IF(AND(16&gt;='节点与说明'!O35,16&lt;='节点与说明'!P35),2,IF(AND(16&gt;='节点与说明'!O35-'节点与说明'!G35,16&lt;'节点与说明'!O35),1,"")))</x:f>
      </x:c>
      <x:c r="X42" s="13" t="str">
        <x:f>IF(OR('节点与说明'!H35="不适用",17&gt;'时间线'!$C$9+1),"",IF(AND(17&gt;='节点与说明'!O35,17&lt;='节点与说明'!P35),2,IF(AND(17&gt;='节点与说明'!O35-'节点与说明'!G35,17&lt;'节点与说明'!O35),1,"")))</x:f>
      </x:c>
      <x:c r="Y42" s="13" t="str">
        <x:f>IF(OR('节点与说明'!H35="不适用",18&gt;'时间线'!$C$9+1),"",IF(AND(18&gt;='节点与说明'!O35,18&lt;='节点与说明'!P35),2,IF(AND(18&gt;='节点与说明'!O35-'节点与说明'!G35,18&lt;'节点与说明'!O35),1,"")))</x:f>
      </x:c>
      <x:c r="Z42" s="13" t="str">
        <x:f>IF(OR('节点与说明'!H35="不适用",19&gt;'时间线'!$C$9+1),"",IF(AND(19&gt;='节点与说明'!O35,19&lt;='节点与说明'!P35),2,IF(AND(19&gt;='节点与说明'!O35-'节点与说明'!G35,19&lt;'节点与说明'!O35),1,"")))</x:f>
      </x:c>
      <x:c r="AA42" s="13" t="str">
        <x:f>IF(OR('节点与说明'!H35="不适用",20&gt;'时间线'!$C$9+1),"",IF(AND(20&gt;='节点与说明'!O35,20&lt;='节点与说明'!P35),2,IF(AND(20&gt;='节点与说明'!O35-'节点与说明'!G35,20&lt;'节点与说明'!O35),1,"")))</x:f>
      </x:c>
      <x:c r="AB42" s="13" t="str">
        <x:f>IF(OR('节点与说明'!H35="不适用",21&gt;'时间线'!$C$9+1),"",IF(AND(21&gt;='节点与说明'!O35,21&lt;='节点与说明'!P35),2,IF(AND(21&gt;='节点与说明'!O35-'节点与说明'!G35,21&lt;'节点与说明'!O35),1,"")))</x:f>
      </x:c>
      <x:c r="AC42" s="13" t="str">
        <x:f>IF(OR('节点与说明'!H35="不适用",22&gt;'时间线'!$C$9+1),"",IF(AND(22&gt;='节点与说明'!O35,22&lt;='节点与说明'!P35),2,IF(AND(22&gt;='节点与说明'!O35-'节点与说明'!G35,22&lt;'节点与说明'!O35),1,"")))</x:f>
      </x:c>
      <x:c r="AD42" s="13" t="str">
        <x:f>IF(OR('节点与说明'!H35="不适用",23&gt;'时间线'!$C$9+1),"",IF(AND(23&gt;='节点与说明'!O35,23&lt;='节点与说明'!P35),2,IF(AND(23&gt;='节点与说明'!O35-'节点与说明'!G35,23&lt;'节点与说明'!O35),1,"")))</x:f>
      </x:c>
      <x:c r="AE42" s="13" t="str">
        <x:f>IF(OR('节点与说明'!H35="不适用",24&gt;'时间线'!$C$9+1),"",IF(AND(24&gt;='节点与说明'!O35,24&lt;='节点与说明'!P35),2,IF(AND(24&gt;='节点与说明'!O35-'节点与说明'!G35,24&lt;'节点与说明'!O35),1,"")))</x:f>
      </x:c>
      <x:c r="AF42" s="13" t="str">
        <x:f>IF(OR('节点与说明'!H35="不适用",25&gt;'时间线'!$C$9+1),"",IF(AND(25&gt;='节点与说明'!O35,25&lt;='节点与说明'!P35),2,IF(AND(25&gt;='节点与说明'!O35-'节点与说明'!G35,25&lt;'节点与说明'!O35),1,"")))</x:f>
      </x:c>
      <x:c r="AG42" s="13" t="str">
        <x:f>IF(OR('节点与说明'!H35="不适用",26&gt;'时间线'!$C$9+1),"",IF(AND(26&gt;='节点与说明'!O35,26&lt;='节点与说明'!P35),2,IF(AND(26&gt;='节点与说明'!O35-'节点与说明'!G35,26&lt;'节点与说明'!O35),1,"")))</x:f>
      </x:c>
      <x:c r="AH42" s="13" t="str">
        <x:f>IF(OR('节点与说明'!H35="不适用",27&gt;'时间线'!$C$9+1),"",IF(AND(27&gt;='节点与说明'!O35,27&lt;='节点与说明'!P35),2,IF(AND(27&gt;='节点与说明'!O35-'节点与说明'!G35,27&lt;'节点与说明'!O35),1,"")))</x:f>
      </x:c>
      <x:c r="AI42" s="13" t="n">
        <x:f>IF(OR('节点与说明'!H35="不适用",28&gt;'时间线'!$C$9+1),"",IF(AND(28&gt;='节点与说明'!O35,28&lt;='节点与说明'!P35),2,IF(AND(28&gt;='节点与说明'!O35-'节点与说明'!G35,28&lt;'节点与说明'!O35),1,"")))</x:f>
        <x:v>1</x:v>
      </x:c>
      <x:c r="AJ42" s="13" t="n">
        <x:f>IF(OR('节点与说明'!H35="不适用",29&gt;'时间线'!$C$9+1),"",IF(AND(29&gt;='节点与说明'!O35,29&lt;='节点与说明'!P35),2,IF(AND(29&gt;='节点与说明'!O35-'节点与说明'!G35,29&lt;'节点与说明'!O35),1,"")))</x:f>
        <x:v>2</x:v>
      </x:c>
      <x:c r="AK42" s="13" t="n">
        <x:f>IF(OR('节点与说明'!H35="不适用",30&gt;'时间线'!$C$9+1),"",IF(AND(30&gt;='节点与说明'!O35,30&lt;='节点与说明'!P35),2,IF(AND(30&gt;='节点与说明'!O35-'节点与说明'!G35,30&lt;'节点与说明'!O35),1,"")))</x:f>
        <x:v>2</x:v>
      </x:c>
      <x:c r="AL42" s="13" t="n">
        <x:f>IF(OR('节点与说明'!H35="不适用",31&gt;'时间线'!$C$9+1),"",IF(AND(31&gt;='节点与说明'!O35,31&lt;='节点与说明'!P35),2,IF(AND(31&gt;='节点与说明'!O35-'节点与说明'!G35,31&lt;'节点与说明'!O35),1,"")))</x:f>
        <x:v>2</x:v>
      </x:c>
      <x:c r="AM42" s="13" t="n">
        <x:f>IF(OR('节点与说明'!H35="不适用",32&gt;'时间线'!$C$9+1),"",IF(AND(32&gt;='节点与说明'!O35,32&lt;='节点与说明'!P35),2,IF(AND(32&gt;='节点与说明'!O35-'节点与说明'!G35,32&lt;'节点与说明'!O35),1,"")))</x:f>
        <x:v>2</x:v>
      </x:c>
      <x:c r="AN42" s="13" t="str">
        <x:f>IF(OR('节点与说明'!H35="不适用",33&gt;'时间线'!$C$9+1),"",IF(AND(33&gt;='节点与说明'!O35,33&lt;='节点与说明'!P35),2,IF(AND(33&gt;='节点与说明'!O35-'节点与说明'!G35,33&lt;'节点与说明'!O35),1,"")))</x:f>
      </x:c>
      <x:c r="AO42" s="13" t="str">
        <x:f>IF(OR('节点与说明'!H35="不适用",34&gt;'时间线'!$C$9+1),"",IF(AND(34&gt;='节点与说明'!O35,34&lt;='节点与说明'!P35),2,IF(AND(34&gt;='节点与说明'!O35-'节点与说明'!G35,34&lt;'节点与说明'!O35),1,"")))</x:f>
      </x:c>
      <x:c r="AP42" s="13" t="str">
        <x:f>IF(OR('节点与说明'!H35="不适用",35&gt;'时间线'!$C$9+1),"",IF(AND(35&gt;='节点与说明'!O35,35&lt;='节点与说明'!P35),2,IF(AND(35&gt;='节点与说明'!O35-'节点与说明'!G35,35&lt;'节点与说明'!O35),1,"")))</x:f>
      </x:c>
      <x:c r="AQ42" s="2"/>
      <x:c r="AR42" s="11" t="str">
        <x:f>'节点与说明'!N35</x:f>
        <x:v>寒假完成第一轮材料修订，避免送审周集中投递。</x:v>
      </x:c>
    </x:row>
    <x:row r="43" ht="38" customHeight="1">
      <x:c r="A43" s="2" t="str">
        <x:f>'节点与说明'!A36</x:f>
        <x:v>B09</x:v>
      </x:c>
      <x:c r="B43" s="17" t="str">
        <x:f>'节点与说明'!B36</x:f>
        <x:v>就业</x:v>
      </x:c>
      <x:c r="C43" s="11" t="str">
        <x:f>'节点与说明'!C36</x:f>
        <x:v>就业登记与入职准备</x:v>
      </x:c>
      <x:c r="D43" s="2" t="str">
        <x:f>'节点与说明'!H36</x:f>
        <x:v>待确认</x:v>
      </x:c>
      <x:c r="E43" s="2" t="n">
        <x:f>'节点与说明'!G36</x:f>
        <x:v>1</x:v>
      </x:c>
      <x:c r="F43" s="2" t="str">
        <x:f>'节点与说明'!S36</x:f>
        <x:v>研3·4月</x:v>
      </x:c>
      <x:c r="G43" s="13" t="str">
        <x:f>IF(OR('节点与说明'!H36="不适用",0&gt;'时间线'!$C$9+1),"",IF(AND(0&gt;='节点与说明'!O36,0&lt;='节点与说明'!P36),2,IF(AND(0&gt;='节点与说明'!O36-'节点与说明'!G36,0&lt;'节点与说明'!O36),1,"")))</x:f>
      </x:c>
      <x:c r="H43" s="13" t="str">
        <x:f>IF(OR('节点与说明'!H36="不适用",1&gt;'时间线'!$C$9+1),"",IF(AND(1&gt;='节点与说明'!O36,1&lt;='节点与说明'!P36),2,IF(AND(1&gt;='节点与说明'!O36-'节点与说明'!G36,1&lt;'节点与说明'!O36),1,"")))</x:f>
      </x:c>
      <x:c r="I43" s="13" t="str">
        <x:f>IF(OR('节点与说明'!H36="不适用",2&gt;'时间线'!$C$9+1),"",IF(AND(2&gt;='节点与说明'!O36,2&lt;='节点与说明'!P36),2,IF(AND(2&gt;='节点与说明'!O36-'节点与说明'!G36,2&lt;'节点与说明'!O36),1,"")))</x:f>
      </x:c>
      <x:c r="J43" s="13" t="str">
        <x:f>IF(OR('节点与说明'!H36="不适用",3&gt;'时间线'!$C$9+1),"",IF(AND(3&gt;='节点与说明'!O36,3&lt;='节点与说明'!P36),2,IF(AND(3&gt;='节点与说明'!O36-'节点与说明'!G36,3&lt;'节点与说明'!O36),1,"")))</x:f>
      </x:c>
      <x:c r="K43" s="13" t="str">
        <x:f>IF(OR('节点与说明'!H36="不适用",4&gt;'时间线'!$C$9+1),"",IF(AND(4&gt;='节点与说明'!O36,4&lt;='节点与说明'!P36),2,IF(AND(4&gt;='节点与说明'!O36-'节点与说明'!G36,4&lt;'节点与说明'!O36),1,"")))</x:f>
      </x:c>
      <x:c r="L43" s="13" t="str">
        <x:f>IF(OR('节点与说明'!H36="不适用",5&gt;'时间线'!$C$9+1),"",IF(AND(5&gt;='节点与说明'!O36,5&lt;='节点与说明'!P36),2,IF(AND(5&gt;='节点与说明'!O36-'节点与说明'!G36,5&lt;'节点与说明'!O36),1,"")))</x:f>
      </x:c>
      <x:c r="M43" s="13" t="str">
        <x:f>IF(OR('节点与说明'!H36="不适用",6&gt;'时间线'!$C$9+1),"",IF(AND(6&gt;='节点与说明'!O36,6&lt;='节点与说明'!P36),2,IF(AND(6&gt;='节点与说明'!O36-'节点与说明'!G36,6&lt;'节点与说明'!O36),1,"")))</x:f>
      </x:c>
      <x:c r="N43" s="13" t="str">
        <x:f>IF(OR('节点与说明'!H36="不适用",7&gt;'时间线'!$C$9+1),"",IF(AND(7&gt;='节点与说明'!O36,7&lt;='节点与说明'!P36),2,IF(AND(7&gt;='节点与说明'!O36-'节点与说明'!G36,7&lt;'节点与说明'!O36),1,"")))</x:f>
      </x:c>
      <x:c r="O43" s="13" t="str">
        <x:f>IF(OR('节点与说明'!H36="不适用",8&gt;'时间线'!$C$9+1),"",IF(AND(8&gt;='节点与说明'!O36,8&lt;='节点与说明'!P36),2,IF(AND(8&gt;='节点与说明'!O36-'节点与说明'!G36,8&lt;'节点与说明'!O36),1,"")))</x:f>
      </x:c>
      <x:c r="P43" s="13" t="str">
        <x:f>IF(OR('节点与说明'!H36="不适用",9&gt;'时间线'!$C$9+1),"",IF(AND(9&gt;='节点与说明'!O36,9&lt;='节点与说明'!P36),2,IF(AND(9&gt;='节点与说明'!O36-'节点与说明'!G36,9&lt;'节点与说明'!O36),1,"")))</x:f>
      </x:c>
      <x:c r="Q43" s="13" t="str">
        <x:f>IF(OR('节点与说明'!H36="不适用",10&gt;'时间线'!$C$9+1),"",IF(AND(10&gt;='节点与说明'!O36,10&lt;='节点与说明'!P36),2,IF(AND(10&gt;='节点与说明'!O36-'节点与说明'!G36,10&lt;'节点与说明'!O36),1,"")))</x:f>
      </x:c>
      <x:c r="R43" s="13" t="str">
        <x:f>IF(OR('节点与说明'!H36="不适用",11&gt;'时间线'!$C$9+1),"",IF(AND(11&gt;='节点与说明'!O36,11&lt;='节点与说明'!P36),2,IF(AND(11&gt;='节点与说明'!O36-'节点与说明'!G36,11&lt;'节点与说明'!O36),1,"")))</x:f>
      </x:c>
      <x:c r="S43" s="13" t="str">
        <x:f>IF(OR('节点与说明'!H36="不适用",12&gt;'时间线'!$C$9+1),"",IF(AND(12&gt;='节点与说明'!O36,12&lt;='节点与说明'!P36),2,IF(AND(12&gt;='节点与说明'!O36-'节点与说明'!G36,12&lt;'节点与说明'!O36),1,"")))</x:f>
      </x:c>
      <x:c r="T43" s="13" t="str">
        <x:f>IF(OR('节点与说明'!H36="不适用",13&gt;'时间线'!$C$9+1),"",IF(AND(13&gt;='节点与说明'!O36,13&lt;='节点与说明'!P36),2,IF(AND(13&gt;='节点与说明'!O36-'节点与说明'!G36,13&lt;'节点与说明'!O36),1,"")))</x:f>
      </x:c>
      <x:c r="U43" s="13" t="str">
        <x:f>IF(OR('节点与说明'!H36="不适用",14&gt;'时间线'!$C$9+1),"",IF(AND(14&gt;='节点与说明'!O36,14&lt;='节点与说明'!P36),2,IF(AND(14&gt;='节点与说明'!O36-'节点与说明'!G36,14&lt;'节点与说明'!O36),1,"")))</x:f>
      </x:c>
      <x:c r="V43" s="13" t="str">
        <x:f>IF(OR('节点与说明'!H36="不适用",15&gt;'时间线'!$C$9+1),"",IF(AND(15&gt;='节点与说明'!O36,15&lt;='节点与说明'!P36),2,IF(AND(15&gt;='节点与说明'!O36-'节点与说明'!G36,15&lt;'节点与说明'!O36),1,"")))</x:f>
      </x:c>
      <x:c r="W43" s="13" t="str">
        <x:f>IF(OR('节点与说明'!H36="不适用",16&gt;'时间线'!$C$9+1),"",IF(AND(16&gt;='节点与说明'!O36,16&lt;='节点与说明'!P36),2,IF(AND(16&gt;='节点与说明'!O36-'节点与说明'!G36,16&lt;'节点与说明'!O36),1,"")))</x:f>
      </x:c>
      <x:c r="X43" s="13" t="str">
        <x:f>IF(OR('节点与说明'!H36="不适用",17&gt;'时间线'!$C$9+1),"",IF(AND(17&gt;='节点与说明'!O36,17&lt;='节点与说明'!P36),2,IF(AND(17&gt;='节点与说明'!O36-'节点与说明'!G36,17&lt;'节点与说明'!O36),1,"")))</x:f>
      </x:c>
      <x:c r="Y43" s="13" t="str">
        <x:f>IF(OR('节点与说明'!H36="不适用",18&gt;'时间线'!$C$9+1),"",IF(AND(18&gt;='节点与说明'!O36,18&lt;='节点与说明'!P36),2,IF(AND(18&gt;='节点与说明'!O36-'节点与说明'!G36,18&lt;'节点与说明'!O36),1,"")))</x:f>
      </x:c>
      <x:c r="Z43" s="13" t="str">
        <x:f>IF(OR('节点与说明'!H36="不适用",19&gt;'时间线'!$C$9+1),"",IF(AND(19&gt;='节点与说明'!O36,19&lt;='节点与说明'!P36),2,IF(AND(19&gt;='节点与说明'!O36-'节点与说明'!G36,19&lt;'节点与说明'!O36),1,"")))</x:f>
      </x:c>
      <x:c r="AA43" s="13" t="str">
        <x:f>IF(OR('节点与说明'!H36="不适用",20&gt;'时间线'!$C$9+1),"",IF(AND(20&gt;='节点与说明'!O36,20&lt;='节点与说明'!P36),2,IF(AND(20&gt;='节点与说明'!O36-'节点与说明'!G36,20&lt;'节点与说明'!O36),1,"")))</x:f>
      </x:c>
      <x:c r="AB43" s="13" t="str">
        <x:f>IF(OR('节点与说明'!H36="不适用",21&gt;'时间线'!$C$9+1),"",IF(AND(21&gt;='节点与说明'!O36,21&lt;='节点与说明'!P36),2,IF(AND(21&gt;='节点与说明'!O36-'节点与说明'!G36,21&lt;'节点与说明'!O36),1,"")))</x:f>
      </x:c>
      <x:c r="AC43" s="13" t="str">
        <x:f>IF(OR('节点与说明'!H36="不适用",22&gt;'时间线'!$C$9+1),"",IF(AND(22&gt;='节点与说明'!O36,22&lt;='节点与说明'!P36),2,IF(AND(22&gt;='节点与说明'!O36-'节点与说明'!G36,22&lt;'节点与说明'!O36),1,"")))</x:f>
      </x:c>
      <x:c r="AD43" s="13" t="str">
        <x:f>IF(OR('节点与说明'!H36="不适用",23&gt;'时间线'!$C$9+1),"",IF(AND(23&gt;='节点与说明'!O36,23&lt;='节点与说明'!P36),2,IF(AND(23&gt;='节点与说明'!O36-'节点与说明'!G36,23&lt;'节点与说明'!O36),1,"")))</x:f>
      </x:c>
      <x:c r="AE43" s="13" t="str">
        <x:f>IF(OR('节点与说明'!H36="不适用",24&gt;'时间线'!$C$9+1),"",IF(AND(24&gt;='节点与说明'!O36,24&lt;='节点与说明'!P36),2,IF(AND(24&gt;='节点与说明'!O36-'节点与说明'!G36,24&lt;'节点与说明'!O36),1,"")))</x:f>
      </x:c>
      <x:c r="AF43" s="13" t="str">
        <x:f>IF(OR('节点与说明'!H36="不适用",25&gt;'时间线'!$C$9+1),"",IF(AND(25&gt;='节点与说明'!O36,25&lt;='节点与说明'!P36),2,IF(AND(25&gt;='节点与说明'!O36-'节点与说明'!G36,25&lt;'节点与说明'!O36),1,"")))</x:f>
      </x:c>
      <x:c r="AG43" s="13" t="str">
        <x:f>IF(OR('节点与说明'!H36="不适用",26&gt;'时间线'!$C$9+1),"",IF(AND(26&gt;='节点与说明'!O36,26&lt;='节点与说明'!P36),2,IF(AND(26&gt;='节点与说明'!O36-'节点与说明'!G36,26&lt;'节点与说明'!O36),1,"")))</x:f>
      </x:c>
      <x:c r="AH43" s="13" t="str">
        <x:f>IF(OR('节点与说明'!H36="不适用",27&gt;'时间线'!$C$9+1),"",IF(AND(27&gt;='节点与说明'!O36,27&lt;='节点与说明'!P36),2,IF(AND(27&gt;='节点与说明'!O36-'节点与说明'!G36,27&lt;'节点与说明'!O36),1,"")))</x:f>
      </x:c>
      <x:c r="AI43" s="13" t="str">
        <x:f>IF(OR('节点与说明'!H36="不适用",28&gt;'时间线'!$C$9+1),"",IF(AND(28&gt;='节点与说明'!O36,28&lt;='节点与说明'!P36),2,IF(AND(28&gt;='节点与说明'!O36-'节点与说明'!G36,28&lt;'节点与说明'!O36),1,"")))</x:f>
      </x:c>
      <x:c r="AJ43" s="13" t="str">
        <x:f>IF(OR('节点与说明'!H36="不适用",29&gt;'时间线'!$C$9+1),"",IF(AND(29&gt;='节点与说明'!O36,29&lt;='节点与说明'!P36),2,IF(AND(29&gt;='节点与说明'!O36-'节点与说明'!G36,29&lt;'节点与说明'!O36),1,"")))</x:f>
      </x:c>
      <x:c r="AK43" s="13" t="str">
        <x:f>IF(OR('节点与说明'!H36="不适用",30&gt;'时间线'!$C$9+1),"",IF(AND(30&gt;='节点与说明'!O36,30&lt;='节点与说明'!P36),2,IF(AND(30&gt;='节点与说明'!O36-'节点与说明'!G36,30&lt;'节点与说明'!O36),1,"")))</x:f>
      </x:c>
      <x:c r="AL43" s="13" t="n">
        <x:f>IF(OR('节点与说明'!H36="不适用",31&gt;'时间线'!$C$9+1),"",IF(AND(31&gt;='节点与说明'!O36,31&lt;='节点与说明'!P36),2,IF(AND(31&gt;='节点与说明'!O36-'节点与说明'!G36,31&lt;'节点与说明'!O36),1,"")))</x:f>
        <x:v>1</x:v>
      </x:c>
      <x:c r="AM43" s="13" t="n">
        <x:f>IF(OR('节点与说明'!H36="不适用",32&gt;'时间线'!$C$9+1),"",IF(AND(32&gt;='节点与说明'!O36,32&lt;='节点与说明'!P36),2,IF(AND(32&gt;='节点与说明'!O36-'节点与说明'!G36,32&lt;'节点与说明'!O36),1,"")))</x:f>
        <x:v>2</x:v>
      </x:c>
      <x:c r="AN43" s="13" t="n">
        <x:f>IF(OR('节点与说明'!H36="不适用",33&gt;'时间线'!$C$9+1),"",IF(AND(33&gt;='节点与说明'!O36,33&lt;='节点与说明'!P36),2,IF(AND(33&gt;='节点与说明'!O36-'节点与说明'!G36,33&lt;'节点与说明'!O36),1,"")))</x:f>
        <x:v>2</x:v>
      </x:c>
      <x:c r="AO43" s="13" t="n">
        <x:f>IF(OR('节点与说明'!H36="不适用",34&gt;'时间线'!$C$9+1),"",IF(AND(34&gt;='节点与说明'!O36,34&lt;='节点与说明'!P36),2,IF(AND(34&gt;='节点与说明'!O36-'节点与说明'!G36,34&lt;'节点与说明'!O36),1,"")))</x:f>
        <x:v>2</x:v>
      </x:c>
      <x:c r="AP43" s="13" t="str">
        <x:f>IF(OR('节点与说明'!H36="不适用",35&gt;'时间线'!$C$9+1),"",IF(AND(35&gt;='节点与说明'!O36,35&lt;='节点与说明'!P36),2,IF(AND(35&gt;='节点与说明'!O36-'节点与说明'!G36,35&lt;'节点与说明'!O36),1,"")))</x:f>
      </x:c>
      <x:c r="AQ43" s="2"/>
      <x:c r="AR43" s="11" t="str">
        <x:f>'节点与说明'!N36</x:f>
        <x:v>提前一个月向企业确认必需材料和办理周期。</x:v>
      </x:c>
    </x:row>
    <x:row r="44" ht="38" customHeight="1">
      <x:c r="A44" s="2" t="str">
        <x:f>'节点与说明'!A37</x:f>
        <x:v>B10</x:v>
      </x:c>
      <x:c r="B44" s="17" t="str">
        <x:f>'节点与说明'!B37</x:f>
        <x:v>就业</x:v>
      </x:c>
      <x:c r="C44" s="11" t="str">
        <x:f>'节点与说明'!C37</x:f>
        <x:v>公共部门/银行/国企资格预核</x:v>
      </x:c>
      <x:c r="D44" s="2" t="str">
        <x:f>'节点与说明'!H37</x:f>
        <x:v>待确认</x:v>
      </x:c>
      <x:c r="E44" s="2" t="n">
        <x:f>'节点与说明'!G37</x:f>
        <x:v>2</x:v>
      </x:c>
      <x:c r="F44" s="2" t="str">
        <x:f>'节点与说明'!S37</x:f>
        <x:v>研2·2月</x:v>
      </x:c>
      <x:c r="G44" s="13" t="str">
        <x:f>IF(OR('节点与说明'!H37="不适用",0&gt;'时间线'!$C$9+1),"",IF(AND(0&gt;='节点与说明'!O37,0&lt;='节点与说明'!P37),2,IF(AND(0&gt;='节点与说明'!O37-'节点与说明'!G37,0&lt;'节点与说明'!O37),1,"")))</x:f>
      </x:c>
      <x:c r="H44" s="13" t="str">
        <x:f>IF(OR('节点与说明'!H37="不适用",1&gt;'时间线'!$C$9+1),"",IF(AND(1&gt;='节点与说明'!O37,1&lt;='节点与说明'!P37),2,IF(AND(1&gt;='节点与说明'!O37-'节点与说明'!G37,1&lt;'节点与说明'!O37),1,"")))</x:f>
      </x:c>
      <x:c r="I44" s="13" t="str">
        <x:f>IF(OR('节点与说明'!H37="不适用",2&gt;'时间线'!$C$9+1),"",IF(AND(2&gt;='节点与说明'!O37,2&lt;='节点与说明'!P37),2,IF(AND(2&gt;='节点与说明'!O37-'节点与说明'!G37,2&lt;'节点与说明'!O37),1,"")))</x:f>
      </x:c>
      <x:c r="J44" s="13" t="str">
        <x:f>IF(OR('节点与说明'!H37="不适用",3&gt;'时间线'!$C$9+1),"",IF(AND(3&gt;='节点与说明'!O37,3&lt;='节点与说明'!P37),2,IF(AND(3&gt;='节点与说明'!O37-'节点与说明'!G37,3&lt;'节点与说明'!O37),1,"")))</x:f>
      </x:c>
      <x:c r="K44" s="13" t="str">
        <x:f>IF(OR('节点与说明'!H37="不适用",4&gt;'时间线'!$C$9+1),"",IF(AND(4&gt;='节点与说明'!O37,4&lt;='节点与说明'!P37),2,IF(AND(4&gt;='节点与说明'!O37-'节点与说明'!G37,4&lt;'节点与说明'!O37),1,"")))</x:f>
      </x:c>
      <x:c r="L44" s="13" t="str">
        <x:f>IF(OR('节点与说明'!H37="不适用",5&gt;'时间线'!$C$9+1),"",IF(AND(5&gt;='节点与说明'!O37,5&lt;='节点与说明'!P37),2,IF(AND(5&gt;='节点与说明'!O37-'节点与说明'!G37,5&lt;'节点与说明'!O37),1,"")))</x:f>
      </x:c>
      <x:c r="M44" s="13" t="str">
        <x:f>IF(OR('节点与说明'!H37="不适用",6&gt;'时间线'!$C$9+1),"",IF(AND(6&gt;='节点与说明'!O37,6&lt;='节点与说明'!P37),2,IF(AND(6&gt;='节点与说明'!O37-'节点与说明'!G37,6&lt;'节点与说明'!O37),1,"")))</x:f>
      </x:c>
      <x:c r="N44" s="13" t="str">
        <x:f>IF(OR('节点与说明'!H37="不适用",7&gt;'时间线'!$C$9+1),"",IF(AND(7&gt;='节点与说明'!O37,7&lt;='节点与说明'!P37),2,IF(AND(7&gt;='节点与说明'!O37-'节点与说明'!G37,7&lt;'节点与说明'!O37),1,"")))</x:f>
      </x:c>
      <x:c r="O44" s="13" t="str">
        <x:f>IF(OR('节点与说明'!H37="不适用",8&gt;'时间线'!$C$9+1),"",IF(AND(8&gt;='节点与说明'!O37,8&lt;='节点与说明'!P37),2,IF(AND(8&gt;='节点与说明'!O37-'节点与说明'!G37,8&lt;'节点与说明'!O37),1,"")))</x:f>
      </x:c>
      <x:c r="P44" s="13" t="str">
        <x:f>IF(OR('节点与说明'!H37="不适用",9&gt;'时间线'!$C$9+1),"",IF(AND(9&gt;='节点与说明'!O37,9&lt;='节点与说明'!P37),2,IF(AND(9&gt;='节点与说明'!O37-'节点与说明'!G37,9&lt;'节点与说明'!O37),1,"")))</x:f>
      </x:c>
      <x:c r="Q44" s="13" t="str">
        <x:f>IF(OR('节点与说明'!H37="不适用",10&gt;'时间线'!$C$9+1),"",IF(AND(10&gt;='节点与说明'!O37,10&lt;='节点与说明'!P37),2,IF(AND(10&gt;='节点与说明'!O37-'节点与说明'!G37,10&lt;'节点与说明'!O37),1,"")))</x:f>
      </x:c>
      <x:c r="R44" s="13" t="str">
        <x:f>IF(OR('节点与说明'!H37="不适用",11&gt;'时间线'!$C$9+1),"",IF(AND(11&gt;='节点与说明'!O37,11&lt;='节点与说明'!P37),2,IF(AND(11&gt;='节点与说明'!O37-'节点与说明'!G37,11&lt;'节点与说明'!O37),1,"")))</x:f>
      </x:c>
      <x:c r="S44" s="13" t="str">
        <x:f>IF(OR('节点与说明'!H37="不适用",12&gt;'时间线'!$C$9+1),"",IF(AND(12&gt;='节点与说明'!O37,12&lt;='节点与说明'!P37),2,IF(AND(12&gt;='节点与说明'!O37-'节点与说明'!G37,12&lt;'节点与说明'!O37),1,"")))</x:f>
      </x:c>
      <x:c r="T44" s="13" t="str">
        <x:f>IF(OR('节点与说明'!H37="不适用",13&gt;'时间线'!$C$9+1),"",IF(AND(13&gt;='节点与说明'!O37,13&lt;='节点与说明'!P37),2,IF(AND(13&gt;='节点与说明'!O37-'节点与说明'!G37,13&lt;'节点与说明'!O37),1,"")))</x:f>
      </x:c>
      <x:c r="U44" s="13" t="str">
        <x:f>IF(OR('节点与说明'!H37="不适用",14&gt;'时间线'!$C$9+1),"",IF(AND(14&gt;='节点与说明'!O37,14&lt;='节点与说明'!P37),2,IF(AND(14&gt;='节点与说明'!O37-'节点与说明'!G37,14&lt;'节点与说明'!O37),1,"")))</x:f>
      </x:c>
      <x:c r="V44" s="13" t="str">
        <x:f>IF(OR('节点与说明'!H37="不适用",15&gt;'时间线'!$C$9+1),"",IF(AND(15&gt;='节点与说明'!O37,15&lt;='节点与说明'!P37),2,IF(AND(15&gt;='节点与说明'!O37-'节点与说明'!G37,15&lt;'节点与说明'!O37),1,"")))</x:f>
      </x:c>
      <x:c r="W44" s="13" t="str">
        <x:f>IF(OR('节点与说明'!H37="不适用",16&gt;'时间线'!$C$9+1),"",IF(AND(16&gt;='节点与说明'!O37,16&lt;='节点与说明'!P37),2,IF(AND(16&gt;='节点与说明'!O37-'节点与说明'!G37,16&lt;'节点与说明'!O37),1,"")))</x:f>
      </x:c>
      <x:c r="X44" s="13" t="n">
        <x:f>IF(OR('节点与说明'!H37="不适用",17&gt;'时间线'!$C$9+1),"",IF(AND(17&gt;='节点与说明'!O37,17&lt;='节点与说明'!P37),2,IF(AND(17&gt;='节点与说明'!O37-'节点与说明'!G37,17&lt;'节点与说明'!O37),1,"")))</x:f>
        <x:v>1</x:v>
      </x:c>
      <x:c r="Y44" s="13" t="n">
        <x:f>IF(OR('节点与说明'!H37="不适用",18&gt;'时间线'!$C$9+1),"",IF(AND(18&gt;='节点与说明'!O37,18&lt;='节点与说明'!P37),2,IF(AND(18&gt;='节点与说明'!O37-'节点与说明'!G37,18&lt;'节点与说明'!O37),1,"")))</x:f>
        <x:v>1</x:v>
      </x:c>
      <x:c r="Z44" s="13" t="n">
        <x:f>IF(OR('节点与说明'!H37="不适用",19&gt;'时间线'!$C$9+1),"",IF(AND(19&gt;='节点与说明'!O37,19&lt;='节点与说明'!P37),2,IF(AND(19&gt;='节点与说明'!O37-'节点与说明'!G37,19&lt;'节点与说明'!O37),1,"")))</x:f>
        <x:v>2</x:v>
      </x:c>
      <x:c r="AA44" s="13" t="n">
        <x:f>IF(OR('节点与说明'!H37="不适用",20&gt;'时间线'!$C$9+1),"",IF(AND(20&gt;='节点与说明'!O37,20&lt;='节点与说明'!P37),2,IF(AND(20&gt;='节点与说明'!O37-'节点与说明'!G37,20&lt;'节点与说明'!O37),1,"")))</x:f>
        <x:v>2</x:v>
      </x:c>
      <x:c r="AB44" s="13" t="n">
        <x:f>IF(OR('节点与说明'!H37="不适用",21&gt;'时间线'!$C$9+1),"",IF(AND(21&gt;='节点与说明'!O37,21&lt;='节点与说明'!P37),2,IF(AND(21&gt;='节点与说明'!O37-'节点与说明'!G37,21&lt;'节点与说明'!O37),1,"")))</x:f>
        <x:v>2</x:v>
      </x:c>
      <x:c r="AC44" s="13" t="n">
        <x:f>IF(OR('节点与说明'!H37="不适用",22&gt;'时间线'!$C$9+1),"",IF(AND(22&gt;='节点与说明'!O37,22&lt;='节点与说明'!P37),2,IF(AND(22&gt;='节点与说明'!O37-'节点与说明'!G37,22&lt;'节点与说明'!O37),1,"")))</x:f>
        <x:v>2</x:v>
      </x:c>
      <x:c r="AD44" s="13" t="n">
        <x:f>IF(OR('节点与说明'!H37="不适用",23&gt;'时间线'!$C$9+1),"",IF(AND(23&gt;='节点与说明'!O37,23&lt;='节点与说明'!P37),2,IF(AND(23&gt;='节点与说明'!O37-'节点与说明'!G37,23&lt;'节点与说明'!O37),1,"")))</x:f>
        <x:v>2</x:v>
      </x:c>
      <x:c r="AE44" s="13" t="str">
        <x:f>IF(OR('节点与说明'!H37="不适用",24&gt;'时间线'!$C$9+1),"",IF(AND(24&gt;='节点与说明'!O37,24&lt;='节点与说明'!P37),2,IF(AND(24&gt;='节点与说明'!O37-'节点与说明'!G37,24&lt;'节点与说明'!O37),1,"")))</x:f>
      </x:c>
      <x:c r="AF44" s="13" t="str">
        <x:f>IF(OR('节点与说明'!H37="不适用",25&gt;'时间线'!$C$9+1),"",IF(AND(25&gt;='节点与说明'!O37,25&lt;='节点与说明'!P37),2,IF(AND(25&gt;='节点与说明'!O37-'节点与说明'!G37,25&lt;'节点与说明'!O37),1,"")))</x:f>
      </x:c>
      <x:c r="AG44" s="13" t="str">
        <x:f>IF(OR('节点与说明'!H37="不适用",26&gt;'时间线'!$C$9+1),"",IF(AND(26&gt;='节点与说明'!O37,26&lt;='节点与说明'!P37),2,IF(AND(26&gt;='节点与说明'!O37-'节点与说明'!G37,26&lt;'节点与说明'!O37),1,"")))</x:f>
      </x:c>
      <x:c r="AH44" s="13" t="str">
        <x:f>IF(OR('节点与说明'!H37="不适用",27&gt;'时间线'!$C$9+1),"",IF(AND(27&gt;='节点与说明'!O37,27&lt;='节点与说明'!P37),2,IF(AND(27&gt;='节点与说明'!O37-'节点与说明'!G37,27&lt;'节点与说明'!O37),1,"")))</x:f>
      </x:c>
      <x:c r="AI44" s="13" t="str">
        <x:f>IF(OR('节点与说明'!H37="不适用",28&gt;'时间线'!$C$9+1),"",IF(AND(28&gt;='节点与说明'!O37,28&lt;='节点与说明'!P37),2,IF(AND(28&gt;='节点与说明'!O37-'节点与说明'!G37,28&lt;'节点与说明'!O37),1,"")))</x:f>
      </x:c>
      <x:c r="AJ44" s="13" t="str">
        <x:f>IF(OR('节点与说明'!H37="不适用",29&gt;'时间线'!$C$9+1),"",IF(AND(29&gt;='节点与说明'!O37,29&lt;='节点与说明'!P37),2,IF(AND(29&gt;='节点与说明'!O37-'节点与说明'!G37,29&lt;'节点与说明'!O37),1,"")))</x:f>
      </x:c>
      <x:c r="AK44" s="13" t="str">
        <x:f>IF(OR('节点与说明'!H37="不适用",30&gt;'时间线'!$C$9+1),"",IF(AND(30&gt;='节点与说明'!O37,30&lt;='节点与说明'!P37),2,IF(AND(30&gt;='节点与说明'!O37-'节点与说明'!G37,30&lt;'节点与说明'!O37),1,"")))</x:f>
      </x:c>
      <x:c r="AL44" s="13" t="str">
        <x:f>IF(OR('节点与说明'!H37="不适用",31&gt;'时间线'!$C$9+1),"",IF(AND(31&gt;='节点与说明'!O37,31&lt;='节点与说明'!P37),2,IF(AND(31&gt;='节点与说明'!O37-'节点与说明'!G37,31&lt;'节点与说明'!O37),1,"")))</x:f>
      </x:c>
      <x:c r="AM44" s="13" t="str">
        <x:f>IF(OR('节点与说明'!H37="不适用",32&gt;'时间线'!$C$9+1),"",IF(AND(32&gt;='节点与说明'!O37,32&lt;='节点与说明'!P37),2,IF(AND(32&gt;='节点与说明'!O37-'节点与说明'!G37,32&lt;'节点与说明'!O37),1,"")))</x:f>
      </x:c>
      <x:c r="AN44" s="13" t="str">
        <x:f>IF(OR('节点与说明'!H37="不适用",33&gt;'时间线'!$C$9+1),"",IF(AND(33&gt;='节点与说明'!O37,33&lt;='节点与说明'!P37),2,IF(AND(33&gt;='节点与说明'!O37-'节点与说明'!G37,33&lt;'节点与说明'!O37),1,"")))</x:f>
      </x:c>
      <x:c r="AO44" s="13" t="str">
        <x:f>IF(OR('节点与说明'!H37="不适用",34&gt;'时间线'!$C$9+1),"",IF(AND(34&gt;='节点与说明'!O37,34&lt;='节点与说明'!P37),2,IF(AND(34&gt;='节点与说明'!O37-'节点与说明'!G37,34&lt;'节点与说明'!O37),1,"")))</x:f>
      </x:c>
      <x:c r="AP44" s="13" t="str">
        <x:f>IF(OR('节点与说明'!H37="不适用",35&gt;'时间线'!$C$9+1),"",IF(AND(35&gt;='节点与说明'!O37,35&lt;='节点与说明'!P37),2,IF(AND(35&gt;='节点与说明'!O37-'节点与说明'!G37,35&lt;'节点与说明'!O37),1,"")))</x:f>
      </x:c>
      <x:c r="AQ44" s="2"/>
      <x:c r="AR44" s="11" t="str">
        <x:f>'节点与说明'!N37</x:f>
        <x:v>最多主攻1–2条招聘路线；非应届在读资格先核，不为练手默认报名。</x:v>
      </x:c>
    </x:row>
    <x:row r="45" ht="38" customHeight="1">
      <x:c r="A45" s="2" t="str">
        <x:f>'节点与说明'!A38</x:f>
        <x:v>C01</x:v>
      </x:c>
      <x:c r="B45" s="19" t="str">
        <x:f>'节点与说明'!B38</x:f>
        <x:v>项目</x:v>
      </x:c>
      <x:c r="C45" s="11" t="str">
        <x:f>'节点与说明'!C38</x:f>
        <x:v>百步梯资格核实与选题准备</x:v>
      </x:c>
      <x:c r="D45" s="2" t="str">
        <x:f>'节点与说明'!H38</x:f>
        <x:v>待确认</x:v>
      </x:c>
      <x:c r="E45" s="2" t="n">
        <x:f>'节点与说明'!G38</x:f>
        <x:v>0</x:v>
      </x:c>
      <x:c r="F45" s="2" t="str">
        <x:f>'节点与说明'!S38</x:f>
        <x:v>研1·10月</x:v>
      </x:c>
      <x:c r="G45" s="13" t="str">
        <x:f>IF(OR('节点与说明'!H38="不适用",0&gt;'时间线'!$C$9+1),"",IF(AND(0&gt;='节点与说明'!O38,0&lt;='节点与说明'!P38),2,IF(AND(0&gt;='节点与说明'!O38-'节点与说明'!G38,0&lt;'节点与说明'!O38),1,"")))</x:f>
      </x:c>
      <x:c r="H45" s="13" t="n">
        <x:f>IF(OR('节点与说明'!H38="不适用",1&gt;'时间线'!$C$9+1),"",IF(AND(1&gt;='节点与说明'!O38,1&lt;='节点与说明'!P38),2,IF(AND(1&gt;='节点与说明'!O38-'节点与说明'!G38,1&lt;'节点与说明'!O38),1,"")))</x:f>
        <x:v>2</x:v>
      </x:c>
      <x:c r="I45" s="13" t="n">
        <x:f>IF(OR('节点与说明'!H38="不适用",2&gt;'时间线'!$C$9+1),"",IF(AND(2&gt;='节点与说明'!O38,2&lt;='节点与说明'!P38),2,IF(AND(2&gt;='节点与说明'!O38-'节点与说明'!G38,2&lt;'节点与说明'!O38),1,"")))</x:f>
        <x:v>2</x:v>
      </x:c>
      <x:c r="J45" s="13" t="n">
        <x:f>IF(OR('节点与说明'!H38="不适用",3&gt;'时间线'!$C$9+1),"",IF(AND(3&gt;='节点与说明'!O38,3&lt;='节点与说明'!P38),2,IF(AND(3&gt;='节点与说明'!O38-'节点与说明'!G38,3&lt;'节点与说明'!O38),1,"")))</x:f>
        <x:v>2</x:v>
      </x:c>
      <x:c r="K45" s="13" t="n">
        <x:f>IF(OR('节点与说明'!H38="不适用",4&gt;'时间线'!$C$9+1),"",IF(AND(4&gt;='节点与说明'!O38,4&lt;='节点与说明'!P38),2,IF(AND(4&gt;='节点与说明'!O38-'节点与说明'!G38,4&lt;'节点与说明'!O38),1,"")))</x:f>
        <x:v>2</x:v>
      </x:c>
      <x:c r="L45" s="13" t="str">
        <x:f>IF(OR('节点与说明'!H38="不适用",5&gt;'时间线'!$C$9+1),"",IF(AND(5&gt;='节点与说明'!O38,5&lt;='节点与说明'!P38),2,IF(AND(5&gt;='节点与说明'!O38-'节点与说明'!G38,5&lt;'节点与说明'!O38),1,"")))</x:f>
      </x:c>
      <x:c r="M45" s="13" t="str">
        <x:f>IF(OR('节点与说明'!H38="不适用",6&gt;'时间线'!$C$9+1),"",IF(AND(6&gt;='节点与说明'!O38,6&lt;='节点与说明'!P38),2,IF(AND(6&gt;='节点与说明'!O38-'节点与说明'!G38,6&lt;'节点与说明'!O38),1,"")))</x:f>
      </x:c>
      <x:c r="N45" s="13" t="str">
        <x:f>IF(OR('节点与说明'!H38="不适用",7&gt;'时间线'!$C$9+1),"",IF(AND(7&gt;='节点与说明'!O38,7&lt;='节点与说明'!P38),2,IF(AND(7&gt;='节点与说明'!O38-'节点与说明'!G38,7&lt;'节点与说明'!O38),1,"")))</x:f>
      </x:c>
      <x:c r="O45" s="13" t="str">
        <x:f>IF(OR('节点与说明'!H38="不适用",8&gt;'时间线'!$C$9+1),"",IF(AND(8&gt;='节点与说明'!O38,8&lt;='节点与说明'!P38),2,IF(AND(8&gt;='节点与说明'!O38-'节点与说明'!G38,8&lt;'节点与说明'!O38),1,"")))</x:f>
      </x:c>
      <x:c r="P45" s="13" t="str">
        <x:f>IF(OR('节点与说明'!H38="不适用",9&gt;'时间线'!$C$9+1),"",IF(AND(9&gt;='节点与说明'!O38,9&lt;='节点与说明'!P38),2,IF(AND(9&gt;='节点与说明'!O38-'节点与说明'!G38,9&lt;'节点与说明'!O38),1,"")))</x:f>
      </x:c>
      <x:c r="Q45" s="13" t="str">
        <x:f>IF(OR('节点与说明'!H38="不适用",10&gt;'时间线'!$C$9+1),"",IF(AND(10&gt;='节点与说明'!O38,10&lt;='节点与说明'!P38),2,IF(AND(10&gt;='节点与说明'!O38-'节点与说明'!G38,10&lt;'节点与说明'!O38),1,"")))</x:f>
      </x:c>
      <x:c r="R45" s="13" t="str">
        <x:f>IF(OR('节点与说明'!H38="不适用",11&gt;'时间线'!$C$9+1),"",IF(AND(11&gt;='节点与说明'!O38,11&lt;='节点与说明'!P38),2,IF(AND(11&gt;='节点与说明'!O38-'节点与说明'!G38,11&lt;'节点与说明'!O38),1,"")))</x:f>
      </x:c>
      <x:c r="S45" s="13" t="str">
        <x:f>IF(OR('节点与说明'!H38="不适用",12&gt;'时间线'!$C$9+1),"",IF(AND(12&gt;='节点与说明'!O38,12&lt;='节点与说明'!P38),2,IF(AND(12&gt;='节点与说明'!O38-'节点与说明'!G38,12&lt;'节点与说明'!O38),1,"")))</x:f>
      </x:c>
      <x:c r="T45" s="13" t="str">
        <x:f>IF(OR('节点与说明'!H38="不适用",13&gt;'时间线'!$C$9+1),"",IF(AND(13&gt;='节点与说明'!O38,13&lt;='节点与说明'!P38),2,IF(AND(13&gt;='节点与说明'!O38-'节点与说明'!G38,13&lt;'节点与说明'!O38),1,"")))</x:f>
      </x:c>
      <x:c r="U45" s="13" t="str">
        <x:f>IF(OR('节点与说明'!H38="不适用",14&gt;'时间线'!$C$9+1),"",IF(AND(14&gt;='节点与说明'!O38,14&lt;='节点与说明'!P38),2,IF(AND(14&gt;='节点与说明'!O38-'节点与说明'!G38,14&lt;'节点与说明'!O38),1,"")))</x:f>
      </x:c>
      <x:c r="V45" s="13" t="str">
        <x:f>IF(OR('节点与说明'!H38="不适用",15&gt;'时间线'!$C$9+1),"",IF(AND(15&gt;='节点与说明'!O38,15&lt;='节点与说明'!P38),2,IF(AND(15&gt;='节点与说明'!O38-'节点与说明'!G38,15&lt;'节点与说明'!O38),1,"")))</x:f>
      </x:c>
      <x:c r="W45" s="13" t="str">
        <x:f>IF(OR('节点与说明'!H38="不适用",16&gt;'时间线'!$C$9+1),"",IF(AND(16&gt;='节点与说明'!O38,16&lt;='节点与说明'!P38),2,IF(AND(16&gt;='节点与说明'!O38-'节点与说明'!G38,16&lt;'节点与说明'!O38),1,"")))</x:f>
      </x:c>
      <x:c r="X45" s="13" t="str">
        <x:f>IF(OR('节点与说明'!H38="不适用",17&gt;'时间线'!$C$9+1),"",IF(AND(17&gt;='节点与说明'!O38,17&lt;='节点与说明'!P38),2,IF(AND(17&gt;='节点与说明'!O38-'节点与说明'!G38,17&lt;'节点与说明'!O38),1,"")))</x:f>
      </x:c>
      <x:c r="Y45" s="13" t="str">
        <x:f>IF(OR('节点与说明'!H38="不适用",18&gt;'时间线'!$C$9+1),"",IF(AND(18&gt;='节点与说明'!O38,18&lt;='节点与说明'!P38),2,IF(AND(18&gt;='节点与说明'!O38-'节点与说明'!G38,18&lt;'节点与说明'!O38),1,"")))</x:f>
      </x:c>
      <x:c r="Z45" s="13" t="str">
        <x:f>IF(OR('节点与说明'!H38="不适用",19&gt;'时间线'!$C$9+1),"",IF(AND(19&gt;='节点与说明'!O38,19&lt;='节点与说明'!P38),2,IF(AND(19&gt;='节点与说明'!O38-'节点与说明'!G38,19&lt;'节点与说明'!O38),1,"")))</x:f>
      </x:c>
      <x:c r="AA45" s="13" t="str">
        <x:f>IF(OR('节点与说明'!H38="不适用",20&gt;'时间线'!$C$9+1),"",IF(AND(20&gt;='节点与说明'!O38,20&lt;='节点与说明'!P38),2,IF(AND(20&gt;='节点与说明'!O38-'节点与说明'!G38,20&lt;'节点与说明'!O38),1,"")))</x:f>
      </x:c>
      <x:c r="AB45" s="13" t="str">
        <x:f>IF(OR('节点与说明'!H38="不适用",21&gt;'时间线'!$C$9+1),"",IF(AND(21&gt;='节点与说明'!O38,21&lt;='节点与说明'!P38),2,IF(AND(21&gt;='节点与说明'!O38-'节点与说明'!G38,21&lt;'节点与说明'!O38),1,"")))</x:f>
      </x:c>
      <x:c r="AC45" s="13" t="str">
        <x:f>IF(OR('节点与说明'!H38="不适用",22&gt;'时间线'!$C$9+1),"",IF(AND(22&gt;='节点与说明'!O38,22&lt;='节点与说明'!P38),2,IF(AND(22&gt;='节点与说明'!O38-'节点与说明'!G38,22&lt;'节点与说明'!O38),1,"")))</x:f>
      </x:c>
      <x:c r="AD45" s="13" t="str">
        <x:f>IF(OR('节点与说明'!H38="不适用",23&gt;'时间线'!$C$9+1),"",IF(AND(23&gt;='节点与说明'!O38,23&lt;='节点与说明'!P38),2,IF(AND(23&gt;='节点与说明'!O38-'节点与说明'!G38,23&lt;'节点与说明'!O38),1,"")))</x:f>
      </x:c>
      <x:c r="AE45" s="13" t="str">
        <x:f>IF(OR('节点与说明'!H38="不适用",24&gt;'时间线'!$C$9+1),"",IF(AND(24&gt;='节点与说明'!O38,24&lt;='节点与说明'!P38),2,IF(AND(24&gt;='节点与说明'!O38-'节点与说明'!G38,24&lt;'节点与说明'!O38),1,"")))</x:f>
      </x:c>
      <x:c r="AF45" s="13" t="str">
        <x:f>IF(OR('节点与说明'!H38="不适用",25&gt;'时间线'!$C$9+1),"",IF(AND(25&gt;='节点与说明'!O38,25&lt;='节点与说明'!P38),2,IF(AND(25&gt;='节点与说明'!O38-'节点与说明'!G38,25&lt;'节点与说明'!O38),1,"")))</x:f>
      </x:c>
      <x:c r="AG45" s="13" t="str">
        <x:f>IF(OR('节点与说明'!H38="不适用",26&gt;'时间线'!$C$9+1),"",IF(AND(26&gt;='节点与说明'!O38,26&lt;='节点与说明'!P38),2,IF(AND(26&gt;='节点与说明'!O38-'节点与说明'!G38,26&lt;'节点与说明'!O38),1,"")))</x:f>
      </x:c>
      <x:c r="AH45" s="13" t="str">
        <x:f>IF(OR('节点与说明'!H38="不适用",27&gt;'时间线'!$C$9+1),"",IF(AND(27&gt;='节点与说明'!O38,27&lt;='节点与说明'!P38),2,IF(AND(27&gt;='节点与说明'!O38-'节点与说明'!G38,27&lt;'节点与说明'!O38),1,"")))</x:f>
      </x:c>
      <x:c r="AI45" s="13" t="str">
        <x:f>IF(OR('节点与说明'!H38="不适用",28&gt;'时间线'!$C$9+1),"",IF(AND(28&gt;='节点与说明'!O38,28&lt;='节点与说明'!P38),2,IF(AND(28&gt;='节点与说明'!O38-'节点与说明'!G38,28&lt;'节点与说明'!O38),1,"")))</x:f>
      </x:c>
      <x:c r="AJ45" s="13" t="str">
        <x:f>IF(OR('节点与说明'!H38="不适用",29&gt;'时间线'!$C$9+1),"",IF(AND(29&gt;='节点与说明'!O38,29&lt;='节点与说明'!P38),2,IF(AND(29&gt;='节点与说明'!O38-'节点与说明'!G38,29&lt;'节点与说明'!O38),1,"")))</x:f>
      </x:c>
      <x:c r="AK45" s="13" t="str">
        <x:f>IF(OR('节点与说明'!H38="不适用",30&gt;'时间线'!$C$9+1),"",IF(AND(30&gt;='节点与说明'!O38,30&lt;='节点与说明'!P38),2,IF(AND(30&gt;='节点与说明'!O38-'节点与说明'!G38,30&lt;'节点与说明'!O38),1,"")))</x:f>
      </x:c>
      <x:c r="AL45" s="13" t="str">
        <x:f>IF(OR('节点与说明'!H38="不适用",31&gt;'时间线'!$C$9+1),"",IF(AND(31&gt;='节点与说明'!O38,31&lt;='节点与说明'!P38),2,IF(AND(31&gt;='节点与说明'!O38-'节点与说明'!G38,31&lt;'节点与说明'!O38),1,"")))</x:f>
      </x:c>
      <x:c r="AM45" s="13" t="str">
        <x:f>IF(OR('节点与说明'!H38="不适用",32&gt;'时间线'!$C$9+1),"",IF(AND(32&gt;='节点与说明'!O38,32&lt;='节点与说明'!P38),2,IF(AND(32&gt;='节点与说明'!O38-'节点与说明'!G38,32&lt;'节点与说明'!O38),1,"")))</x:f>
      </x:c>
      <x:c r="AN45" s="13" t="str">
        <x:f>IF(OR('节点与说明'!H38="不适用",33&gt;'时间线'!$C$9+1),"",IF(AND(33&gt;='节点与说明'!O38,33&lt;='节点与说明'!P38),2,IF(AND(33&gt;='节点与说明'!O38-'节点与说明'!G38,33&lt;'节点与说明'!O38),1,"")))</x:f>
      </x:c>
      <x:c r="AO45" s="13" t="str">
        <x:f>IF(OR('节点与说明'!H38="不适用",34&gt;'时间线'!$C$9+1),"",IF(AND(34&gt;='节点与说明'!O38,34&lt;='节点与说明'!P38),2,IF(AND(34&gt;='节点与说明'!O38-'节点与说明'!G38,34&lt;'节点与说明'!O38),1,"")))</x:f>
      </x:c>
      <x:c r="AP45" s="13" t="str">
        <x:f>IF(OR('节点与说明'!H38="不适用",35&gt;'时间线'!$C$9+1),"",IF(AND(35&gt;='节点与说明'!O38,35&lt;='节点与说明'!P38),2,IF(AND(35&gt;='节点与说明'!O38-'节点与说明'!G38,35&lt;'节点与说明'!O38),1,"")))</x:f>
      </x:c>
      <x:c r="AQ45" s="2"/>
      <x:c r="AR45" s="11" t="str">
        <x:f>'节点与说明'!N38</x:f>
        <x:v>提前4–8周备材料；核实可申后，把正式截止单独写入年度窗口。</x:v>
      </x:c>
    </x:row>
    <x:row r="46" ht="38" customHeight="1">
      <x:c r="A46" s="2" t="str">
        <x:f>'节点与说明'!A39</x:f>
        <x:v>C02</x:v>
      </x:c>
      <x:c r="B46" s="19" t="str">
        <x:f>'节点与说明'!B39</x:f>
        <x:v>项目</x:v>
      </x:c>
      <x:c r="C46" s="11" t="str">
        <x:f>'节点与说明'!C39</x:f>
        <x:v>项目申报材料与导师评阅</x:v>
      </x:c>
      <x:c r="D46" s="2" t="str">
        <x:f>'节点与说明'!H39</x:f>
        <x:v>待确认</x:v>
      </x:c>
      <x:c r="E46" s="2" t="n">
        <x:f>'节点与说明'!G39</x:f>
        <x:v>1</x:v>
      </x:c>
      <x:c r="F46" s="2" t="str">
        <x:f>'节点与说明'!S39</x:f>
        <x:v>研1·12月</x:v>
      </x:c>
      <x:c r="G46" s="13" t="str">
        <x:f>IF(OR('节点与说明'!H39="不适用",0&gt;'时间线'!$C$9+1),"",IF(AND(0&gt;='节点与说明'!O39,0&lt;='节点与说明'!P39),2,IF(AND(0&gt;='节点与说明'!O39-'节点与说明'!G39,0&lt;'节点与说明'!O39),1,"")))</x:f>
      </x:c>
      <x:c r="H46" s="13" t="str">
        <x:f>IF(OR('节点与说明'!H39="不适用",1&gt;'时间线'!$C$9+1),"",IF(AND(1&gt;='节点与说明'!O39,1&lt;='节点与说明'!P39),2,IF(AND(1&gt;='节点与说明'!O39-'节点与说明'!G39,1&lt;'节点与说明'!O39),1,"")))</x:f>
      </x:c>
      <x:c r="I46" s="13" t="str">
        <x:f>IF(OR('节点与说明'!H39="不适用",2&gt;'时间线'!$C$9+1),"",IF(AND(2&gt;='节点与说明'!O39,2&lt;='节点与说明'!P39),2,IF(AND(2&gt;='节点与说明'!O39-'节点与说明'!G39,2&lt;'节点与说明'!O39),1,"")))</x:f>
      </x:c>
      <x:c r="J46" s="13" t="n">
        <x:f>IF(OR('节点与说明'!H39="不适用",3&gt;'时间线'!$C$9+1),"",IF(AND(3&gt;='节点与说明'!O39,3&lt;='节点与说明'!P39),2,IF(AND(3&gt;='节点与说明'!O39-'节点与说明'!G39,3&lt;'节点与说明'!O39),1,"")))</x:f>
        <x:v>1</x:v>
      </x:c>
      <x:c r="K46" s="13" t="n">
        <x:f>IF(OR('节点与说明'!H39="不适用",4&gt;'时间线'!$C$9+1),"",IF(AND(4&gt;='节点与说明'!O39,4&lt;='节点与说明'!P39),2,IF(AND(4&gt;='节点与说明'!O39-'节点与说明'!G39,4&lt;'节点与说明'!O39),1,"")))</x:f>
        <x:v>2</x:v>
      </x:c>
      <x:c r="L46" s="13" t="n">
        <x:f>IF(OR('节点与说明'!H39="不适用",5&gt;'时间线'!$C$9+1),"",IF(AND(5&gt;='节点与说明'!O39,5&lt;='节点与说明'!P39),2,IF(AND(5&gt;='节点与说明'!O39-'节点与说明'!G39,5&lt;'节点与说明'!O39),1,"")))</x:f>
        <x:v>2</x:v>
      </x:c>
      <x:c r="M46" s="13" t="str">
        <x:f>IF(OR('节点与说明'!H39="不适用",6&gt;'时间线'!$C$9+1),"",IF(AND(6&gt;='节点与说明'!O39,6&lt;='节点与说明'!P39),2,IF(AND(6&gt;='节点与说明'!O39-'节点与说明'!G39,6&lt;'节点与说明'!O39),1,"")))</x:f>
      </x:c>
      <x:c r="N46" s="13" t="str">
        <x:f>IF(OR('节点与说明'!H39="不适用",7&gt;'时间线'!$C$9+1),"",IF(AND(7&gt;='节点与说明'!O39,7&lt;='节点与说明'!P39),2,IF(AND(7&gt;='节点与说明'!O39-'节点与说明'!G39,7&lt;'节点与说明'!O39),1,"")))</x:f>
      </x:c>
      <x:c r="O46" s="13" t="str">
        <x:f>IF(OR('节点与说明'!H39="不适用",8&gt;'时间线'!$C$9+1),"",IF(AND(8&gt;='节点与说明'!O39,8&lt;='节点与说明'!P39),2,IF(AND(8&gt;='节点与说明'!O39-'节点与说明'!G39,8&lt;'节点与说明'!O39),1,"")))</x:f>
      </x:c>
      <x:c r="P46" s="13" t="str">
        <x:f>IF(OR('节点与说明'!H39="不适用",9&gt;'时间线'!$C$9+1),"",IF(AND(9&gt;='节点与说明'!O39,9&lt;='节点与说明'!P39),2,IF(AND(9&gt;='节点与说明'!O39-'节点与说明'!G39,9&lt;'节点与说明'!O39),1,"")))</x:f>
      </x:c>
      <x:c r="Q46" s="13" t="str">
        <x:f>IF(OR('节点与说明'!H39="不适用",10&gt;'时间线'!$C$9+1),"",IF(AND(10&gt;='节点与说明'!O39,10&lt;='节点与说明'!P39),2,IF(AND(10&gt;='节点与说明'!O39-'节点与说明'!G39,10&lt;'节点与说明'!O39),1,"")))</x:f>
      </x:c>
      <x:c r="R46" s="13" t="str">
        <x:f>IF(OR('节点与说明'!H39="不适用",11&gt;'时间线'!$C$9+1),"",IF(AND(11&gt;='节点与说明'!O39,11&lt;='节点与说明'!P39),2,IF(AND(11&gt;='节点与说明'!O39-'节点与说明'!G39,11&lt;'节点与说明'!O39),1,"")))</x:f>
      </x:c>
      <x:c r="S46" s="13" t="str">
        <x:f>IF(OR('节点与说明'!H39="不适用",12&gt;'时间线'!$C$9+1),"",IF(AND(12&gt;='节点与说明'!O39,12&lt;='节点与说明'!P39),2,IF(AND(12&gt;='节点与说明'!O39-'节点与说明'!G39,12&lt;'节点与说明'!O39),1,"")))</x:f>
      </x:c>
      <x:c r="T46" s="13" t="str">
        <x:f>IF(OR('节点与说明'!H39="不适用",13&gt;'时间线'!$C$9+1),"",IF(AND(13&gt;='节点与说明'!O39,13&lt;='节点与说明'!P39),2,IF(AND(13&gt;='节点与说明'!O39-'节点与说明'!G39,13&lt;'节点与说明'!O39),1,"")))</x:f>
      </x:c>
      <x:c r="U46" s="13" t="str">
        <x:f>IF(OR('节点与说明'!H39="不适用",14&gt;'时间线'!$C$9+1),"",IF(AND(14&gt;='节点与说明'!O39,14&lt;='节点与说明'!P39),2,IF(AND(14&gt;='节点与说明'!O39-'节点与说明'!G39,14&lt;'节点与说明'!O39),1,"")))</x:f>
      </x:c>
      <x:c r="V46" s="13" t="str">
        <x:f>IF(OR('节点与说明'!H39="不适用",15&gt;'时间线'!$C$9+1),"",IF(AND(15&gt;='节点与说明'!O39,15&lt;='节点与说明'!P39),2,IF(AND(15&gt;='节点与说明'!O39-'节点与说明'!G39,15&lt;'节点与说明'!O39),1,"")))</x:f>
      </x:c>
      <x:c r="W46" s="13" t="str">
        <x:f>IF(OR('节点与说明'!H39="不适用",16&gt;'时间线'!$C$9+1),"",IF(AND(16&gt;='节点与说明'!O39,16&lt;='节点与说明'!P39),2,IF(AND(16&gt;='节点与说明'!O39-'节点与说明'!G39,16&lt;'节点与说明'!O39),1,"")))</x:f>
      </x:c>
      <x:c r="X46" s="13" t="str">
        <x:f>IF(OR('节点与说明'!H39="不适用",17&gt;'时间线'!$C$9+1),"",IF(AND(17&gt;='节点与说明'!O39,17&lt;='节点与说明'!P39),2,IF(AND(17&gt;='节点与说明'!O39-'节点与说明'!G39,17&lt;'节点与说明'!O39),1,"")))</x:f>
      </x:c>
      <x:c r="Y46" s="13" t="str">
        <x:f>IF(OR('节点与说明'!H39="不适用",18&gt;'时间线'!$C$9+1),"",IF(AND(18&gt;='节点与说明'!O39,18&lt;='节点与说明'!P39),2,IF(AND(18&gt;='节点与说明'!O39-'节点与说明'!G39,18&lt;'节点与说明'!O39),1,"")))</x:f>
      </x:c>
      <x:c r="Z46" s="13" t="str">
        <x:f>IF(OR('节点与说明'!H39="不适用",19&gt;'时间线'!$C$9+1),"",IF(AND(19&gt;='节点与说明'!O39,19&lt;='节点与说明'!P39),2,IF(AND(19&gt;='节点与说明'!O39-'节点与说明'!G39,19&lt;'节点与说明'!O39),1,"")))</x:f>
      </x:c>
      <x:c r="AA46" s="13" t="str">
        <x:f>IF(OR('节点与说明'!H39="不适用",20&gt;'时间线'!$C$9+1),"",IF(AND(20&gt;='节点与说明'!O39,20&lt;='节点与说明'!P39),2,IF(AND(20&gt;='节点与说明'!O39-'节点与说明'!G39,20&lt;'节点与说明'!O39),1,"")))</x:f>
      </x:c>
      <x:c r="AB46" s="13" t="str">
        <x:f>IF(OR('节点与说明'!H39="不适用",21&gt;'时间线'!$C$9+1),"",IF(AND(21&gt;='节点与说明'!O39,21&lt;='节点与说明'!P39),2,IF(AND(21&gt;='节点与说明'!O39-'节点与说明'!G39,21&lt;'节点与说明'!O39),1,"")))</x:f>
      </x:c>
      <x:c r="AC46" s="13" t="str">
        <x:f>IF(OR('节点与说明'!H39="不适用",22&gt;'时间线'!$C$9+1),"",IF(AND(22&gt;='节点与说明'!O39,22&lt;='节点与说明'!P39),2,IF(AND(22&gt;='节点与说明'!O39-'节点与说明'!G39,22&lt;'节点与说明'!O39),1,"")))</x:f>
      </x:c>
      <x:c r="AD46" s="13" t="str">
        <x:f>IF(OR('节点与说明'!H39="不适用",23&gt;'时间线'!$C$9+1),"",IF(AND(23&gt;='节点与说明'!O39,23&lt;='节点与说明'!P39),2,IF(AND(23&gt;='节点与说明'!O39-'节点与说明'!G39,23&lt;'节点与说明'!O39),1,"")))</x:f>
      </x:c>
      <x:c r="AE46" s="13" t="str">
        <x:f>IF(OR('节点与说明'!H39="不适用",24&gt;'时间线'!$C$9+1),"",IF(AND(24&gt;='节点与说明'!O39,24&lt;='节点与说明'!P39),2,IF(AND(24&gt;='节点与说明'!O39-'节点与说明'!G39,24&lt;'节点与说明'!O39),1,"")))</x:f>
      </x:c>
      <x:c r="AF46" s="13" t="str">
        <x:f>IF(OR('节点与说明'!H39="不适用",25&gt;'时间线'!$C$9+1),"",IF(AND(25&gt;='节点与说明'!O39,25&lt;='节点与说明'!P39),2,IF(AND(25&gt;='节点与说明'!O39-'节点与说明'!G39,25&lt;'节点与说明'!O39),1,"")))</x:f>
      </x:c>
      <x:c r="AG46" s="13" t="str">
        <x:f>IF(OR('节点与说明'!H39="不适用",26&gt;'时间线'!$C$9+1),"",IF(AND(26&gt;='节点与说明'!O39,26&lt;='节点与说明'!P39),2,IF(AND(26&gt;='节点与说明'!O39-'节点与说明'!G39,26&lt;'节点与说明'!O39),1,"")))</x:f>
      </x:c>
      <x:c r="AH46" s="13" t="str">
        <x:f>IF(OR('节点与说明'!H39="不适用",27&gt;'时间线'!$C$9+1),"",IF(AND(27&gt;='节点与说明'!O39,27&lt;='节点与说明'!P39),2,IF(AND(27&gt;='节点与说明'!O39-'节点与说明'!G39,27&lt;'节点与说明'!O39),1,"")))</x:f>
      </x:c>
      <x:c r="AI46" s="13" t="str">
        <x:f>IF(OR('节点与说明'!H39="不适用",28&gt;'时间线'!$C$9+1),"",IF(AND(28&gt;='节点与说明'!O39,28&lt;='节点与说明'!P39),2,IF(AND(28&gt;='节点与说明'!O39-'节点与说明'!G39,28&lt;'节点与说明'!O39),1,"")))</x:f>
      </x:c>
      <x:c r="AJ46" s="13" t="str">
        <x:f>IF(OR('节点与说明'!H39="不适用",29&gt;'时间线'!$C$9+1),"",IF(AND(29&gt;='节点与说明'!O39,29&lt;='节点与说明'!P39),2,IF(AND(29&gt;='节点与说明'!O39-'节点与说明'!G39,29&lt;'节点与说明'!O39),1,"")))</x:f>
      </x:c>
      <x:c r="AK46" s="13" t="str">
        <x:f>IF(OR('节点与说明'!H39="不适用",30&gt;'时间线'!$C$9+1),"",IF(AND(30&gt;='节点与说明'!O39,30&lt;='节点与说明'!P39),2,IF(AND(30&gt;='节点与说明'!O39-'节点与说明'!G39,30&lt;'节点与说明'!O39),1,"")))</x:f>
      </x:c>
      <x:c r="AL46" s="13" t="str">
        <x:f>IF(OR('节点与说明'!H39="不适用",31&gt;'时间线'!$C$9+1),"",IF(AND(31&gt;='节点与说明'!O39,31&lt;='节点与说明'!P39),2,IF(AND(31&gt;='节点与说明'!O39-'节点与说明'!G39,31&lt;'节点与说明'!O39),1,"")))</x:f>
      </x:c>
      <x:c r="AM46" s="13" t="str">
        <x:f>IF(OR('节点与说明'!H39="不适用",32&gt;'时间线'!$C$9+1),"",IF(AND(32&gt;='节点与说明'!O39,32&lt;='节点与说明'!P39),2,IF(AND(32&gt;='节点与说明'!O39-'节点与说明'!G39,32&lt;'节点与说明'!O39),1,"")))</x:f>
      </x:c>
      <x:c r="AN46" s="13" t="str">
        <x:f>IF(OR('节点与说明'!H39="不适用",33&gt;'时间线'!$C$9+1),"",IF(AND(33&gt;='节点与说明'!O39,33&lt;='节点与说明'!P39),2,IF(AND(33&gt;='节点与说明'!O39-'节点与说明'!G39,33&lt;'节点与说明'!O39),1,"")))</x:f>
      </x:c>
      <x:c r="AO46" s="13" t="str">
        <x:f>IF(OR('节点与说明'!H39="不适用",34&gt;'时间线'!$C$9+1),"",IF(AND(34&gt;='节点与说明'!O39,34&lt;='节点与说明'!P39),2,IF(AND(34&gt;='节点与说明'!O39-'节点与说明'!G39,34&lt;'节点与说明'!O39),1,"")))</x:f>
      </x:c>
      <x:c r="AP46" s="13" t="str">
        <x:f>IF(OR('节点与说明'!H39="不适用",35&gt;'时间线'!$C$9+1),"",IF(AND(35&gt;='节点与说明'!O39,35&lt;='节点与说明'!P39),2,IF(AND(35&gt;='节点与说明'!O39-'节点与说明'!G39,35&lt;'节点与说明'!O39),1,"")))</x:f>
      </x:c>
      <x:c r="AQ46" s="2"/>
      <x:c r="AR46" s="11" t="str">
        <x:f>'节点与说明'!N39</x:f>
        <x:v>提前1个月给导师首稿，提前1周完成系统与附件检查。</x:v>
      </x:c>
    </x:row>
    <x:row r="47" ht="38" customHeight="1">
      <x:c r="A47" s="2" t="str">
        <x:f>'节点与说明'!A40</x:f>
        <x:v>C03</x:v>
      </x:c>
      <x:c r="B47" s="19" t="str">
        <x:f>'节点与说明'!B40</x:f>
        <x:v>项目</x:v>
      </x:c>
      <x:c r="C47" s="11" t="str">
        <x:f>'节点与说明'!C40</x:f>
        <x:v>项目执行、中期及结题跟踪</x:v>
      </x:c>
      <x:c r="D47" s="2" t="str">
        <x:f>'节点与说明'!H40</x:f>
        <x:v>待确认</x:v>
      </x:c>
      <x:c r="E47" s="2" t="n">
        <x:f>'节点与说明'!G40</x:f>
        <x:v>0</x:v>
      </x:c>
      <x:c r="F47" s="2" t="str">
        <x:f>'节点与说明'!S40</x:f>
        <x:v>研1·3月</x:v>
      </x:c>
      <x:c r="G47" s="13" t="str">
        <x:f>IF(OR('节点与说明'!H40="不适用",0&gt;'时间线'!$C$9+1),"",IF(AND(0&gt;='节点与说明'!O40,0&lt;='节点与说明'!P40),2,IF(AND(0&gt;='节点与说明'!O40-'节点与说明'!G40,0&lt;'节点与说明'!O40),1,"")))</x:f>
      </x:c>
      <x:c r="H47" s="13" t="str">
        <x:f>IF(OR('节点与说明'!H40="不适用",1&gt;'时间线'!$C$9+1),"",IF(AND(1&gt;='节点与说明'!O40,1&lt;='节点与说明'!P40),2,IF(AND(1&gt;='节点与说明'!O40-'节点与说明'!G40,1&lt;'节点与说明'!O40),1,"")))</x:f>
      </x:c>
      <x:c r="I47" s="13" t="str">
        <x:f>IF(OR('节点与说明'!H40="不适用",2&gt;'时间线'!$C$9+1),"",IF(AND(2&gt;='节点与说明'!O40,2&lt;='节点与说明'!P40),2,IF(AND(2&gt;='节点与说明'!O40-'节点与说明'!G40,2&lt;'节点与说明'!O40),1,"")))</x:f>
      </x:c>
      <x:c r="J47" s="13" t="str">
        <x:f>IF(OR('节点与说明'!H40="不适用",3&gt;'时间线'!$C$9+1),"",IF(AND(3&gt;='节点与说明'!O40,3&lt;='节点与说明'!P40),2,IF(AND(3&gt;='节点与说明'!O40-'节点与说明'!G40,3&lt;'节点与说明'!O40),1,"")))</x:f>
      </x:c>
      <x:c r="K47" s="13" t="str">
        <x:f>IF(OR('节点与说明'!H40="不适用",4&gt;'时间线'!$C$9+1),"",IF(AND(4&gt;='节点与说明'!O40,4&lt;='节点与说明'!P40),2,IF(AND(4&gt;='节点与说明'!O40-'节点与说明'!G40,4&lt;'节点与说明'!O40),1,"")))</x:f>
      </x:c>
      <x:c r="L47" s="13" t="str">
        <x:f>IF(OR('节点与说明'!H40="不适用",5&gt;'时间线'!$C$9+1),"",IF(AND(5&gt;='节点与说明'!O40,5&lt;='节点与说明'!P40),2,IF(AND(5&gt;='节点与说明'!O40-'节点与说明'!G40,5&lt;'节点与说明'!O40),1,"")))</x:f>
      </x:c>
      <x:c r="M47" s="13" t="n">
        <x:f>IF(OR('节点与说明'!H40="不适用",6&gt;'时间线'!$C$9+1),"",IF(AND(6&gt;='节点与说明'!O40,6&lt;='节点与说明'!P40),2,IF(AND(6&gt;='节点与说明'!O40-'节点与说明'!G40,6&lt;'节点与说明'!O40),1,"")))</x:f>
        <x:v>2</x:v>
      </x:c>
      <x:c r="N47" s="13" t="n">
        <x:f>IF(OR('节点与说明'!H40="不适用",7&gt;'时间线'!$C$9+1),"",IF(AND(7&gt;='节点与说明'!O40,7&lt;='节点与说明'!P40),2,IF(AND(7&gt;='节点与说明'!O40-'节点与说明'!G40,7&lt;'节点与说明'!O40),1,"")))</x:f>
        <x:v>2</x:v>
      </x:c>
      <x:c r="O47" s="13" t="n">
        <x:f>IF(OR('节点与说明'!H40="不适用",8&gt;'时间线'!$C$9+1),"",IF(AND(8&gt;='节点与说明'!O40,8&lt;='节点与说明'!P40),2,IF(AND(8&gt;='节点与说明'!O40-'节点与说明'!G40,8&lt;'节点与说明'!O40),1,"")))</x:f>
        <x:v>2</x:v>
      </x:c>
      <x:c r="P47" s="13" t="n">
        <x:f>IF(OR('节点与说明'!H40="不适用",9&gt;'时间线'!$C$9+1),"",IF(AND(9&gt;='节点与说明'!O40,9&lt;='节点与说明'!P40),2,IF(AND(9&gt;='节点与说明'!O40-'节点与说明'!G40,9&lt;'节点与说明'!O40),1,"")))</x:f>
        <x:v>2</x:v>
      </x:c>
      <x:c r="Q47" s="13" t="n">
        <x:f>IF(OR('节点与说明'!H40="不适用",10&gt;'时间线'!$C$9+1),"",IF(AND(10&gt;='节点与说明'!O40,10&lt;='节点与说明'!P40),2,IF(AND(10&gt;='节点与说明'!O40-'节点与说明'!G40,10&lt;'节点与说明'!O40),1,"")))</x:f>
        <x:v>2</x:v>
      </x:c>
      <x:c r="R47" s="13" t="n">
        <x:f>IF(OR('节点与说明'!H40="不适用",11&gt;'时间线'!$C$9+1),"",IF(AND(11&gt;='节点与说明'!O40,11&lt;='节点与说明'!P40),2,IF(AND(11&gt;='节点与说明'!O40-'节点与说明'!G40,11&lt;'节点与说明'!O40),1,"")))</x:f>
        <x:v>2</x:v>
      </x:c>
      <x:c r="S47" s="13" t="n">
        <x:f>IF(OR('节点与说明'!H40="不适用",12&gt;'时间线'!$C$9+1),"",IF(AND(12&gt;='节点与说明'!O40,12&lt;='节点与说明'!P40),2,IF(AND(12&gt;='节点与说明'!O40-'节点与说明'!G40,12&lt;'节点与说明'!O40),1,"")))</x:f>
        <x:v>2</x:v>
      </x:c>
      <x:c r="T47" s="13" t="n">
        <x:f>IF(OR('节点与说明'!H40="不适用",13&gt;'时间线'!$C$9+1),"",IF(AND(13&gt;='节点与说明'!O40,13&lt;='节点与说明'!P40),2,IF(AND(13&gt;='节点与说明'!O40-'节点与说明'!G40,13&lt;'节点与说明'!O40),1,"")))</x:f>
        <x:v>2</x:v>
      </x:c>
      <x:c r="U47" s="13" t="n">
        <x:f>IF(OR('节点与说明'!H40="不适用",14&gt;'时间线'!$C$9+1),"",IF(AND(14&gt;='节点与说明'!O40,14&lt;='节点与说明'!P40),2,IF(AND(14&gt;='节点与说明'!O40-'节点与说明'!G40,14&lt;'节点与说明'!O40),1,"")))</x:f>
        <x:v>2</x:v>
      </x:c>
      <x:c r="V47" s="13" t="n">
        <x:f>IF(OR('节点与说明'!H40="不适用",15&gt;'时间线'!$C$9+1),"",IF(AND(15&gt;='节点与说明'!O40,15&lt;='节点与说明'!P40),2,IF(AND(15&gt;='节点与说明'!O40-'节点与说明'!G40,15&lt;'节点与说明'!O40),1,"")))</x:f>
        <x:v>2</x:v>
      </x:c>
      <x:c r="W47" s="13" t="n">
        <x:f>IF(OR('节点与说明'!H40="不适用",16&gt;'时间线'!$C$9+1),"",IF(AND(16&gt;='节点与说明'!O40,16&lt;='节点与说明'!P40),2,IF(AND(16&gt;='节点与说明'!O40-'节点与说明'!G40,16&lt;'节点与说明'!O40),1,"")))</x:f>
        <x:v>2</x:v>
      </x:c>
      <x:c r="X47" s="13" t="n">
        <x:f>IF(OR('节点与说明'!H40="不适用",17&gt;'时间线'!$C$9+1),"",IF(AND(17&gt;='节点与说明'!O40,17&lt;='节点与说明'!P40),2,IF(AND(17&gt;='节点与说明'!O40-'节点与说明'!G40,17&lt;'节点与说明'!O40),1,"")))</x:f>
        <x:v>2</x:v>
      </x:c>
      <x:c r="Y47" s="13" t="str">
        <x:f>IF(OR('节点与说明'!H40="不适用",18&gt;'时间线'!$C$9+1),"",IF(AND(18&gt;='节点与说明'!O40,18&lt;='节点与说明'!P40),2,IF(AND(18&gt;='节点与说明'!O40-'节点与说明'!G40,18&lt;'节点与说明'!O40),1,"")))</x:f>
      </x:c>
      <x:c r="Z47" s="13" t="str">
        <x:f>IF(OR('节点与说明'!H40="不适用",19&gt;'时间线'!$C$9+1),"",IF(AND(19&gt;='节点与说明'!O40,19&lt;='节点与说明'!P40),2,IF(AND(19&gt;='节点与说明'!O40-'节点与说明'!G40,19&lt;'节点与说明'!O40),1,"")))</x:f>
      </x:c>
      <x:c r="AA47" s="13" t="str">
        <x:f>IF(OR('节点与说明'!H40="不适用",20&gt;'时间线'!$C$9+1),"",IF(AND(20&gt;='节点与说明'!O40,20&lt;='节点与说明'!P40),2,IF(AND(20&gt;='节点与说明'!O40-'节点与说明'!G40,20&lt;'节点与说明'!O40),1,"")))</x:f>
      </x:c>
      <x:c r="AB47" s="13" t="str">
        <x:f>IF(OR('节点与说明'!H40="不适用",21&gt;'时间线'!$C$9+1),"",IF(AND(21&gt;='节点与说明'!O40,21&lt;='节点与说明'!P40),2,IF(AND(21&gt;='节点与说明'!O40-'节点与说明'!G40,21&lt;'节点与说明'!O40),1,"")))</x:f>
      </x:c>
      <x:c r="AC47" s="13" t="str">
        <x:f>IF(OR('节点与说明'!H40="不适用",22&gt;'时间线'!$C$9+1),"",IF(AND(22&gt;='节点与说明'!O40,22&lt;='节点与说明'!P40),2,IF(AND(22&gt;='节点与说明'!O40-'节点与说明'!G40,22&lt;'节点与说明'!O40),1,"")))</x:f>
      </x:c>
      <x:c r="AD47" s="13" t="str">
        <x:f>IF(OR('节点与说明'!H40="不适用",23&gt;'时间线'!$C$9+1),"",IF(AND(23&gt;='节点与说明'!O40,23&lt;='节点与说明'!P40),2,IF(AND(23&gt;='节点与说明'!O40-'节点与说明'!G40,23&lt;'节点与说明'!O40),1,"")))</x:f>
      </x:c>
      <x:c r="AE47" s="13" t="str">
        <x:f>IF(OR('节点与说明'!H40="不适用",24&gt;'时间线'!$C$9+1),"",IF(AND(24&gt;='节点与说明'!O40,24&lt;='节点与说明'!P40),2,IF(AND(24&gt;='节点与说明'!O40-'节点与说明'!G40,24&lt;'节点与说明'!O40),1,"")))</x:f>
      </x:c>
      <x:c r="AF47" s="13" t="str">
        <x:f>IF(OR('节点与说明'!H40="不适用",25&gt;'时间线'!$C$9+1),"",IF(AND(25&gt;='节点与说明'!O40,25&lt;='节点与说明'!P40),2,IF(AND(25&gt;='节点与说明'!O40-'节点与说明'!G40,25&lt;'节点与说明'!O40),1,"")))</x:f>
      </x:c>
      <x:c r="AG47" s="13" t="str">
        <x:f>IF(OR('节点与说明'!H40="不适用",26&gt;'时间线'!$C$9+1),"",IF(AND(26&gt;='节点与说明'!O40,26&lt;='节点与说明'!P40),2,IF(AND(26&gt;='节点与说明'!O40-'节点与说明'!G40,26&lt;'节点与说明'!O40),1,"")))</x:f>
      </x:c>
      <x:c r="AH47" s="13" t="str">
        <x:f>IF(OR('节点与说明'!H40="不适用",27&gt;'时间线'!$C$9+1),"",IF(AND(27&gt;='节点与说明'!O40,27&lt;='节点与说明'!P40),2,IF(AND(27&gt;='节点与说明'!O40-'节点与说明'!G40,27&lt;'节点与说明'!O40),1,"")))</x:f>
      </x:c>
      <x:c r="AI47" s="13" t="str">
        <x:f>IF(OR('节点与说明'!H40="不适用",28&gt;'时间线'!$C$9+1),"",IF(AND(28&gt;='节点与说明'!O40,28&lt;='节点与说明'!P40),2,IF(AND(28&gt;='节点与说明'!O40-'节点与说明'!G40,28&lt;'节点与说明'!O40),1,"")))</x:f>
      </x:c>
      <x:c r="AJ47" s="13" t="str">
        <x:f>IF(OR('节点与说明'!H40="不适用",29&gt;'时间线'!$C$9+1),"",IF(AND(29&gt;='节点与说明'!O40,29&lt;='节点与说明'!P40),2,IF(AND(29&gt;='节点与说明'!O40-'节点与说明'!G40,29&lt;'节点与说明'!O40),1,"")))</x:f>
      </x:c>
      <x:c r="AK47" s="13" t="str">
        <x:f>IF(OR('节点与说明'!H40="不适用",30&gt;'时间线'!$C$9+1),"",IF(AND(30&gt;='节点与说明'!O40,30&lt;='节点与说明'!P40),2,IF(AND(30&gt;='节点与说明'!O40-'节点与说明'!G40,30&lt;'节点与说明'!O40),1,"")))</x:f>
      </x:c>
      <x:c r="AL47" s="13" t="str">
        <x:f>IF(OR('节点与说明'!H40="不适用",31&gt;'时间线'!$C$9+1),"",IF(AND(31&gt;='节点与说明'!O40,31&lt;='节点与说明'!P40),2,IF(AND(31&gt;='节点与说明'!O40-'节点与说明'!G40,31&lt;'节点与说明'!O40),1,"")))</x:f>
      </x:c>
      <x:c r="AM47" s="13" t="str">
        <x:f>IF(OR('节点与说明'!H40="不适用",32&gt;'时间线'!$C$9+1),"",IF(AND(32&gt;='节点与说明'!O40,32&lt;='节点与说明'!P40),2,IF(AND(32&gt;='节点与说明'!O40-'节点与说明'!G40,32&lt;'节点与说明'!O40),1,"")))</x:f>
      </x:c>
      <x:c r="AN47" s="13" t="str">
        <x:f>IF(OR('节点与说明'!H40="不适用",33&gt;'时间线'!$C$9+1),"",IF(AND(33&gt;='节点与说明'!O40,33&lt;='节点与说明'!P40),2,IF(AND(33&gt;='节点与说明'!O40-'节点与说明'!G40,33&lt;'节点与说明'!O40),1,"")))</x:f>
      </x:c>
      <x:c r="AO47" s="13" t="str">
        <x:f>IF(OR('节点与说明'!H40="不适用",34&gt;'时间线'!$C$9+1),"",IF(AND(34&gt;='节点与说明'!O40,34&lt;='节点与说明'!P40),2,IF(AND(34&gt;='节点与说明'!O40-'节点与说明'!G40,34&lt;'节点与说明'!O40),1,"")))</x:f>
      </x:c>
      <x:c r="AP47" s="13" t="str">
        <x:f>IF(OR('节点与说明'!H40="不适用",35&gt;'时间线'!$C$9+1),"",IF(AND(35&gt;='节点与说明'!O40,35&lt;='节点与说明'!P40),2,IF(AND(35&gt;='节点与说明'!O40-'节点与说明'!G40,35&lt;'节点与说明'!O40),1,"")))</x:f>
      </x:c>
      <x:c r="AQ47" s="2"/>
      <x:c r="AR47" s="11" t="str">
        <x:f>'节点与说明'!N40</x:f>
        <x:v>立项当天录入全部里程碑；结题前2个月盘点成果与凭证。</x:v>
      </x:c>
    </x:row>
    <x:row r="48" ht="38" customHeight="1">
      <x:c r="A48" s="2" t="str">
        <x:f>'节点与说明'!A41</x:f>
        <x:v>C04</x:v>
      </x:c>
      <x:c r="B48" s="19" t="str">
        <x:f>'节点与说明'!B41</x:f>
        <x:v>项目</x:v>
      </x:c>
      <x:c r="C48" s="11" t="str">
        <x:f>'节点与说明'!C41</x:f>
        <x:v>下一年度研究生竞赛资助关注</x:v>
      </x:c>
      <x:c r="D48" s="2" t="str">
        <x:f>'节点与说明'!H41</x:f>
        <x:v>待确认</x:v>
      </x:c>
      <x:c r="E48" s="2" t="n">
        <x:f>'节点与说明'!G41</x:f>
        <x:v>0</x:v>
      </x:c>
      <x:c r="F48" s="2" t="str">
        <x:f>'节点与说明'!S41</x:f>
        <x:v>研1·10月</x:v>
      </x:c>
      <x:c r="G48" s="13" t="str">
        <x:f>IF(OR('节点与说明'!H41="不适用",0&gt;'时间线'!$C$9+1),"",IF(AND(0&gt;='节点与说明'!O41,0&lt;='节点与说明'!P41),2,IF(AND(0&gt;='节点与说明'!O41-'节点与说明'!G41,0&lt;'节点与说明'!O41),1,"")))</x:f>
      </x:c>
      <x:c r="H48" s="13" t="n">
        <x:f>IF(OR('节点与说明'!H41="不适用",1&gt;'时间线'!$C$9+1),"",IF(AND(1&gt;='节点与说明'!O41,1&lt;='节点与说明'!P41),2,IF(AND(1&gt;='节点与说明'!O41-'节点与说明'!G41,1&lt;'节点与说明'!O41),1,"")))</x:f>
        <x:v>2</x:v>
      </x:c>
      <x:c r="I48" s="13" t="n">
        <x:f>IF(OR('节点与说明'!H41="不适用",2&gt;'时间线'!$C$9+1),"",IF(AND(2&gt;='节点与说明'!O41,2&lt;='节点与说明'!P41),2,IF(AND(2&gt;='节点与说明'!O41-'节点与说明'!G41,2&lt;'节点与说明'!O41),1,"")))</x:f>
        <x:v>2</x:v>
      </x:c>
      <x:c r="J48" s="13" t="n">
        <x:f>IF(OR('节点与说明'!H41="不适用",3&gt;'时间线'!$C$9+1),"",IF(AND(3&gt;='节点与说明'!O41,3&lt;='节点与说明'!P41),2,IF(AND(3&gt;='节点与说明'!O41-'节点与说明'!G41,3&lt;'节点与说明'!O41),1,"")))</x:f>
        <x:v>2</x:v>
      </x:c>
      <x:c r="K48" s="13" t="str">
        <x:f>IF(OR('节点与说明'!H41="不适用",4&gt;'时间线'!$C$9+1),"",IF(AND(4&gt;='节点与说明'!O41,4&lt;='节点与说明'!P41),2,IF(AND(4&gt;='节点与说明'!O41-'节点与说明'!G41,4&lt;'节点与说明'!O41),1,"")))</x:f>
      </x:c>
      <x:c r="L48" s="13" t="str">
        <x:f>IF(OR('节点与说明'!H41="不适用",5&gt;'时间线'!$C$9+1),"",IF(AND(5&gt;='节点与说明'!O41,5&lt;='节点与说明'!P41),2,IF(AND(5&gt;='节点与说明'!O41-'节点与说明'!G41,5&lt;'节点与说明'!O41),1,"")))</x:f>
      </x:c>
      <x:c r="M48" s="13" t="str">
        <x:f>IF(OR('节点与说明'!H41="不适用",6&gt;'时间线'!$C$9+1),"",IF(AND(6&gt;='节点与说明'!O41,6&lt;='节点与说明'!P41),2,IF(AND(6&gt;='节点与说明'!O41-'节点与说明'!G41,6&lt;'节点与说明'!O41),1,"")))</x:f>
      </x:c>
      <x:c r="N48" s="13" t="str">
        <x:f>IF(OR('节点与说明'!H41="不适用",7&gt;'时间线'!$C$9+1),"",IF(AND(7&gt;='节点与说明'!O41,7&lt;='节点与说明'!P41),2,IF(AND(7&gt;='节点与说明'!O41-'节点与说明'!G41,7&lt;'节点与说明'!O41),1,"")))</x:f>
      </x:c>
      <x:c r="O48" s="13" t="str">
        <x:f>IF(OR('节点与说明'!H41="不适用",8&gt;'时间线'!$C$9+1),"",IF(AND(8&gt;='节点与说明'!O41,8&lt;='节点与说明'!P41),2,IF(AND(8&gt;='节点与说明'!O41-'节点与说明'!G41,8&lt;'节点与说明'!O41),1,"")))</x:f>
      </x:c>
      <x:c r="P48" s="13" t="str">
        <x:f>IF(OR('节点与说明'!H41="不适用",9&gt;'时间线'!$C$9+1),"",IF(AND(9&gt;='节点与说明'!O41,9&lt;='节点与说明'!P41),2,IF(AND(9&gt;='节点与说明'!O41-'节点与说明'!G41,9&lt;'节点与说明'!O41),1,"")))</x:f>
      </x:c>
      <x:c r="Q48" s="13" t="str">
        <x:f>IF(OR('节点与说明'!H41="不适用",10&gt;'时间线'!$C$9+1),"",IF(AND(10&gt;='节点与说明'!O41,10&lt;='节点与说明'!P41),2,IF(AND(10&gt;='节点与说明'!O41-'节点与说明'!G41,10&lt;'节点与说明'!O41),1,"")))</x:f>
      </x:c>
      <x:c r="R48" s="13" t="str">
        <x:f>IF(OR('节点与说明'!H41="不适用",11&gt;'时间线'!$C$9+1),"",IF(AND(11&gt;='节点与说明'!O41,11&lt;='节点与说明'!P41),2,IF(AND(11&gt;='节点与说明'!O41-'节点与说明'!G41,11&lt;'节点与说明'!O41),1,"")))</x:f>
      </x:c>
      <x:c r="S48" s="13" t="str">
        <x:f>IF(OR('节点与说明'!H41="不适用",12&gt;'时间线'!$C$9+1),"",IF(AND(12&gt;='节点与说明'!O41,12&lt;='节点与说明'!P41),2,IF(AND(12&gt;='节点与说明'!O41-'节点与说明'!G41,12&lt;'节点与说明'!O41),1,"")))</x:f>
      </x:c>
      <x:c r="T48" s="13" t="str">
        <x:f>IF(OR('节点与说明'!H41="不适用",13&gt;'时间线'!$C$9+1),"",IF(AND(13&gt;='节点与说明'!O41,13&lt;='节点与说明'!P41),2,IF(AND(13&gt;='节点与说明'!O41-'节点与说明'!G41,13&lt;'节点与说明'!O41),1,"")))</x:f>
      </x:c>
      <x:c r="U48" s="13" t="str">
        <x:f>IF(OR('节点与说明'!H41="不适用",14&gt;'时间线'!$C$9+1),"",IF(AND(14&gt;='节点与说明'!O41,14&lt;='节点与说明'!P41),2,IF(AND(14&gt;='节点与说明'!O41-'节点与说明'!G41,14&lt;'节点与说明'!O41),1,"")))</x:f>
      </x:c>
      <x:c r="V48" s="13" t="str">
        <x:f>IF(OR('节点与说明'!H41="不适用",15&gt;'时间线'!$C$9+1),"",IF(AND(15&gt;='节点与说明'!O41,15&lt;='节点与说明'!P41),2,IF(AND(15&gt;='节点与说明'!O41-'节点与说明'!G41,15&lt;'节点与说明'!O41),1,"")))</x:f>
      </x:c>
      <x:c r="W48" s="13" t="str">
        <x:f>IF(OR('节点与说明'!H41="不适用",16&gt;'时间线'!$C$9+1),"",IF(AND(16&gt;='节点与说明'!O41,16&lt;='节点与说明'!P41),2,IF(AND(16&gt;='节点与说明'!O41-'节点与说明'!G41,16&lt;'节点与说明'!O41),1,"")))</x:f>
      </x:c>
      <x:c r="X48" s="13" t="str">
        <x:f>IF(OR('节点与说明'!H41="不适用",17&gt;'时间线'!$C$9+1),"",IF(AND(17&gt;='节点与说明'!O41,17&lt;='节点与说明'!P41),2,IF(AND(17&gt;='节点与说明'!O41-'节点与说明'!G41,17&lt;'节点与说明'!O41),1,"")))</x:f>
      </x:c>
      <x:c r="Y48" s="13" t="str">
        <x:f>IF(OR('节点与说明'!H41="不适用",18&gt;'时间线'!$C$9+1),"",IF(AND(18&gt;='节点与说明'!O41,18&lt;='节点与说明'!P41),2,IF(AND(18&gt;='节点与说明'!O41-'节点与说明'!G41,18&lt;'节点与说明'!O41),1,"")))</x:f>
      </x:c>
      <x:c r="Z48" s="13" t="str">
        <x:f>IF(OR('节点与说明'!H41="不适用",19&gt;'时间线'!$C$9+1),"",IF(AND(19&gt;='节点与说明'!O41,19&lt;='节点与说明'!P41),2,IF(AND(19&gt;='节点与说明'!O41-'节点与说明'!G41,19&lt;'节点与说明'!O41),1,"")))</x:f>
      </x:c>
      <x:c r="AA48" s="13" t="str">
        <x:f>IF(OR('节点与说明'!H41="不适用",20&gt;'时间线'!$C$9+1),"",IF(AND(20&gt;='节点与说明'!O41,20&lt;='节点与说明'!P41),2,IF(AND(20&gt;='节点与说明'!O41-'节点与说明'!G41,20&lt;'节点与说明'!O41),1,"")))</x:f>
      </x:c>
      <x:c r="AB48" s="13" t="str">
        <x:f>IF(OR('节点与说明'!H41="不适用",21&gt;'时间线'!$C$9+1),"",IF(AND(21&gt;='节点与说明'!O41,21&lt;='节点与说明'!P41),2,IF(AND(21&gt;='节点与说明'!O41-'节点与说明'!G41,21&lt;'节点与说明'!O41),1,"")))</x:f>
      </x:c>
      <x:c r="AC48" s="13" t="str">
        <x:f>IF(OR('节点与说明'!H41="不适用",22&gt;'时间线'!$C$9+1),"",IF(AND(22&gt;='节点与说明'!O41,22&lt;='节点与说明'!P41),2,IF(AND(22&gt;='节点与说明'!O41-'节点与说明'!G41,22&lt;'节点与说明'!O41),1,"")))</x:f>
      </x:c>
      <x:c r="AD48" s="13" t="str">
        <x:f>IF(OR('节点与说明'!H41="不适用",23&gt;'时间线'!$C$9+1),"",IF(AND(23&gt;='节点与说明'!O41,23&lt;='节点与说明'!P41),2,IF(AND(23&gt;='节点与说明'!O41-'节点与说明'!G41,23&lt;'节点与说明'!O41),1,"")))</x:f>
      </x:c>
      <x:c r="AE48" s="13" t="str">
        <x:f>IF(OR('节点与说明'!H41="不适用",24&gt;'时间线'!$C$9+1),"",IF(AND(24&gt;='节点与说明'!O41,24&lt;='节点与说明'!P41),2,IF(AND(24&gt;='节点与说明'!O41-'节点与说明'!G41,24&lt;'节点与说明'!O41),1,"")))</x:f>
      </x:c>
      <x:c r="AF48" s="13" t="str">
        <x:f>IF(OR('节点与说明'!H41="不适用",25&gt;'时间线'!$C$9+1),"",IF(AND(25&gt;='节点与说明'!O41,25&lt;='节点与说明'!P41),2,IF(AND(25&gt;='节点与说明'!O41-'节点与说明'!G41,25&lt;'节点与说明'!O41),1,"")))</x:f>
      </x:c>
      <x:c r="AG48" s="13" t="str">
        <x:f>IF(OR('节点与说明'!H41="不适用",26&gt;'时间线'!$C$9+1),"",IF(AND(26&gt;='节点与说明'!O41,26&lt;='节点与说明'!P41),2,IF(AND(26&gt;='节点与说明'!O41-'节点与说明'!G41,26&lt;'节点与说明'!O41),1,"")))</x:f>
      </x:c>
      <x:c r="AH48" s="13" t="str">
        <x:f>IF(OR('节点与说明'!H41="不适用",27&gt;'时间线'!$C$9+1),"",IF(AND(27&gt;='节点与说明'!O41,27&lt;='节点与说明'!P41),2,IF(AND(27&gt;='节点与说明'!O41-'节点与说明'!G41,27&lt;'节点与说明'!O41),1,"")))</x:f>
      </x:c>
      <x:c r="AI48" s="13" t="str">
        <x:f>IF(OR('节点与说明'!H41="不适用",28&gt;'时间线'!$C$9+1),"",IF(AND(28&gt;='节点与说明'!O41,28&lt;='节点与说明'!P41),2,IF(AND(28&gt;='节点与说明'!O41-'节点与说明'!G41,28&lt;'节点与说明'!O41),1,"")))</x:f>
      </x:c>
      <x:c r="AJ48" s="13" t="str">
        <x:f>IF(OR('节点与说明'!H41="不适用",29&gt;'时间线'!$C$9+1),"",IF(AND(29&gt;='节点与说明'!O41,29&lt;='节点与说明'!P41),2,IF(AND(29&gt;='节点与说明'!O41-'节点与说明'!G41,29&lt;'节点与说明'!O41),1,"")))</x:f>
      </x:c>
      <x:c r="AK48" s="13" t="str">
        <x:f>IF(OR('节点与说明'!H41="不适用",30&gt;'时间线'!$C$9+1),"",IF(AND(30&gt;='节点与说明'!O41,30&lt;='节点与说明'!P41),2,IF(AND(30&gt;='节点与说明'!O41-'节点与说明'!G41,30&lt;'节点与说明'!O41),1,"")))</x:f>
      </x:c>
      <x:c r="AL48" s="13" t="str">
        <x:f>IF(OR('节点与说明'!H41="不适用",31&gt;'时间线'!$C$9+1),"",IF(AND(31&gt;='节点与说明'!O41,31&lt;='节点与说明'!P41),2,IF(AND(31&gt;='节点与说明'!O41-'节点与说明'!G41,31&lt;'节点与说明'!O41),1,"")))</x:f>
      </x:c>
      <x:c r="AM48" s="13" t="str">
        <x:f>IF(OR('节点与说明'!H41="不适用",32&gt;'时间线'!$C$9+1),"",IF(AND(32&gt;='节点与说明'!O41,32&lt;='节点与说明'!P41),2,IF(AND(32&gt;='节点与说明'!O41-'节点与说明'!G41,32&lt;'节点与说明'!O41),1,"")))</x:f>
      </x:c>
      <x:c r="AN48" s="13" t="str">
        <x:f>IF(OR('节点与说明'!H41="不适用",33&gt;'时间线'!$C$9+1),"",IF(AND(33&gt;='节点与说明'!O41,33&lt;='节点与说明'!P41),2,IF(AND(33&gt;='节点与说明'!O41-'节点与说明'!G41,33&lt;'节点与说明'!O41),1,"")))</x:f>
      </x:c>
      <x:c r="AO48" s="13" t="str">
        <x:f>IF(OR('节点与说明'!H41="不适用",34&gt;'时间线'!$C$9+1),"",IF(AND(34&gt;='节点与说明'!O41,34&lt;='节点与说明'!P41),2,IF(AND(34&gt;='节点与说明'!O41-'节点与说明'!G41,34&lt;'节点与说明'!O41),1,"")))</x:f>
      </x:c>
      <x:c r="AP48" s="13" t="str">
        <x:f>IF(OR('节点与说明'!H41="不适用",35&gt;'时间线'!$C$9+1),"",IF(AND(35&gt;='节点与说明'!O41,35&lt;='节点与说明'!P41),2,IF(AND(35&gt;='节点与说明'!O41-'节点与说明'!G41,35&lt;'节点与说明'!O41),1,"")))</x:f>
      </x:c>
      <x:c r="AQ48" s="2"/>
      <x:c r="AR48" s="11" t="str">
        <x:f>'节点与说明'!N41</x:f>
        <x:v>报名参赛前先确认经费渠道、支出范围和赛后报销材料。</x:v>
      </x:c>
    </x:row>
    <x:row r="49" ht="38" customHeight="1">
      <x:c r="A49" s="2" t="str">
        <x:f>'节点与说明'!A42</x:f>
        <x:v>C05</x:v>
      </x:c>
      <x:c r="B49" s="19" t="str">
        <x:f>'节点与说明'!B42</x:f>
        <x:v>项目</x:v>
      </x:c>
      <x:c r="C49" s="11" t="str">
        <x:f>'节点与说明'!C42</x:f>
        <x:v>省攀登计划资格与申请准备</x:v>
      </x:c>
      <x:c r="D49" s="2" t="str">
        <x:f>'节点与说明'!H42</x:f>
        <x:v>待确认</x:v>
      </x:c>
      <x:c r="E49" s="2" t="n">
        <x:f>'节点与说明'!G42</x:f>
        <x:v>1</x:v>
      </x:c>
      <x:c r="F49" s="2" t="str">
        <x:f>'节点与说明'!S42</x:f>
        <x:v>研1·9月</x:v>
      </x:c>
      <x:c r="G49" s="13" t="n">
        <x:f>IF(OR('节点与说明'!H42="不适用",0&gt;'时间线'!$C$9+1),"",IF(AND(0&gt;='节点与说明'!O42,0&lt;='节点与说明'!P42),2,IF(AND(0&gt;='节点与说明'!O42-'节点与说明'!G42,0&lt;'节点与说明'!O42),1,"")))</x:f>
        <x:v>1</x:v>
      </x:c>
      <x:c r="H49" s="13" t="n">
        <x:f>IF(OR('节点与说明'!H42="不适用",1&gt;'时间线'!$C$9+1),"",IF(AND(1&gt;='节点与说明'!O42,1&lt;='节点与说明'!P42),2,IF(AND(1&gt;='节点与说明'!O42-'节点与说明'!G42,1&lt;'节点与说明'!O42),1,"")))</x:f>
        <x:v>2</x:v>
      </x:c>
      <x:c r="I49" s="13" t="n">
        <x:f>IF(OR('节点与说明'!H42="不适用",2&gt;'时间线'!$C$9+1),"",IF(AND(2&gt;='节点与说明'!O42,2&lt;='节点与说明'!P42),2,IF(AND(2&gt;='节点与说明'!O42-'节点与说明'!G42,2&lt;'节点与说明'!O42),1,"")))</x:f>
        <x:v>2</x:v>
      </x:c>
      <x:c r="J49" s="13" t="n">
        <x:f>IF(OR('节点与说明'!H42="不适用",3&gt;'时间线'!$C$9+1),"",IF(AND(3&gt;='节点与说明'!O42,3&lt;='节点与说明'!P42),2,IF(AND(3&gt;='节点与说明'!O42-'节点与说明'!G42,3&lt;'节点与说明'!O42),1,"")))</x:f>
        <x:v>2</x:v>
      </x:c>
      <x:c r="K49" s="13" t="n">
        <x:f>IF(OR('节点与说明'!H42="不适用",4&gt;'时间线'!$C$9+1),"",IF(AND(4&gt;='节点与说明'!O42,4&lt;='节点与说明'!P42),2,IF(AND(4&gt;='节点与说明'!O42-'节点与说明'!G42,4&lt;'节点与说明'!O42),1,"")))</x:f>
        <x:v>2</x:v>
      </x:c>
      <x:c r="L49" s="13" t="n">
        <x:f>IF(OR('节点与说明'!H42="不适用",5&gt;'时间线'!$C$9+1),"",IF(AND(5&gt;='节点与说明'!O42,5&lt;='节点与说明'!P42),2,IF(AND(5&gt;='节点与说明'!O42-'节点与说明'!G42,5&lt;'节点与说明'!O42),1,"")))</x:f>
        <x:v>2</x:v>
      </x:c>
      <x:c r="M49" s="13" t="str">
        <x:f>IF(OR('节点与说明'!H42="不适用",6&gt;'时间线'!$C$9+1),"",IF(AND(6&gt;='节点与说明'!O42,6&lt;='节点与说明'!P42),2,IF(AND(6&gt;='节点与说明'!O42-'节点与说明'!G42,6&lt;'节点与说明'!O42),1,"")))</x:f>
      </x:c>
      <x:c r="N49" s="13" t="str">
        <x:f>IF(OR('节点与说明'!H42="不适用",7&gt;'时间线'!$C$9+1),"",IF(AND(7&gt;='节点与说明'!O42,7&lt;='节点与说明'!P42),2,IF(AND(7&gt;='节点与说明'!O42-'节点与说明'!G42,7&lt;'节点与说明'!O42),1,"")))</x:f>
      </x:c>
      <x:c r="O49" s="13" t="str">
        <x:f>IF(OR('节点与说明'!H42="不适用",8&gt;'时间线'!$C$9+1),"",IF(AND(8&gt;='节点与说明'!O42,8&lt;='节点与说明'!P42),2,IF(AND(8&gt;='节点与说明'!O42-'节点与说明'!G42,8&lt;'节点与说明'!O42),1,"")))</x:f>
      </x:c>
      <x:c r="P49" s="13" t="str">
        <x:f>IF(OR('节点与说明'!H42="不适用",9&gt;'时间线'!$C$9+1),"",IF(AND(9&gt;='节点与说明'!O42,9&lt;='节点与说明'!P42),2,IF(AND(9&gt;='节点与说明'!O42-'节点与说明'!G42,9&lt;'节点与说明'!O42),1,"")))</x:f>
      </x:c>
      <x:c r="Q49" s="13" t="str">
        <x:f>IF(OR('节点与说明'!H42="不适用",10&gt;'时间线'!$C$9+1),"",IF(AND(10&gt;='节点与说明'!O42,10&lt;='节点与说明'!P42),2,IF(AND(10&gt;='节点与说明'!O42-'节点与说明'!G42,10&lt;'节点与说明'!O42),1,"")))</x:f>
      </x:c>
      <x:c r="R49" s="13" t="str">
        <x:f>IF(OR('节点与说明'!H42="不适用",11&gt;'时间线'!$C$9+1),"",IF(AND(11&gt;='节点与说明'!O42,11&lt;='节点与说明'!P42),2,IF(AND(11&gt;='节点与说明'!O42-'节点与说明'!G42,11&lt;'节点与说明'!O42),1,"")))</x:f>
      </x:c>
      <x:c r="S49" s="13" t="str">
        <x:f>IF(OR('节点与说明'!H42="不适用",12&gt;'时间线'!$C$9+1),"",IF(AND(12&gt;='节点与说明'!O42,12&lt;='节点与说明'!P42),2,IF(AND(12&gt;='节点与说明'!O42-'节点与说明'!G42,12&lt;'节点与说明'!O42),1,"")))</x:f>
      </x:c>
      <x:c r="T49" s="13" t="str">
        <x:f>IF(OR('节点与说明'!H42="不适用",13&gt;'时间线'!$C$9+1),"",IF(AND(13&gt;='节点与说明'!O42,13&lt;='节点与说明'!P42),2,IF(AND(13&gt;='节点与说明'!O42-'节点与说明'!G42,13&lt;'节点与说明'!O42),1,"")))</x:f>
      </x:c>
      <x:c r="U49" s="13" t="str">
        <x:f>IF(OR('节点与说明'!H42="不适用",14&gt;'时间线'!$C$9+1),"",IF(AND(14&gt;='节点与说明'!O42,14&lt;='节点与说明'!P42),2,IF(AND(14&gt;='节点与说明'!O42-'节点与说明'!G42,14&lt;'节点与说明'!O42),1,"")))</x:f>
      </x:c>
      <x:c r="V49" s="13" t="str">
        <x:f>IF(OR('节点与说明'!H42="不适用",15&gt;'时间线'!$C$9+1),"",IF(AND(15&gt;='节点与说明'!O42,15&lt;='节点与说明'!P42),2,IF(AND(15&gt;='节点与说明'!O42-'节点与说明'!G42,15&lt;'节点与说明'!O42),1,"")))</x:f>
      </x:c>
      <x:c r="W49" s="13" t="str">
        <x:f>IF(OR('节点与说明'!H42="不适用",16&gt;'时间线'!$C$9+1),"",IF(AND(16&gt;='节点与说明'!O42,16&lt;='节点与说明'!P42),2,IF(AND(16&gt;='节点与说明'!O42-'节点与说明'!G42,16&lt;'节点与说明'!O42),1,"")))</x:f>
      </x:c>
      <x:c r="X49" s="13" t="str">
        <x:f>IF(OR('节点与说明'!H42="不适用",17&gt;'时间线'!$C$9+1),"",IF(AND(17&gt;='节点与说明'!O42,17&lt;='节点与说明'!P42),2,IF(AND(17&gt;='节点与说明'!O42-'节点与说明'!G42,17&lt;'节点与说明'!O42),1,"")))</x:f>
      </x:c>
      <x:c r="Y49" s="13" t="str">
        <x:f>IF(OR('节点与说明'!H42="不适用",18&gt;'时间线'!$C$9+1),"",IF(AND(18&gt;='节点与说明'!O42,18&lt;='节点与说明'!P42),2,IF(AND(18&gt;='节点与说明'!O42-'节点与说明'!G42,18&lt;'节点与说明'!O42),1,"")))</x:f>
      </x:c>
      <x:c r="Z49" s="13" t="str">
        <x:f>IF(OR('节点与说明'!H42="不适用",19&gt;'时间线'!$C$9+1),"",IF(AND(19&gt;='节点与说明'!O42,19&lt;='节点与说明'!P42),2,IF(AND(19&gt;='节点与说明'!O42-'节点与说明'!G42,19&lt;'节点与说明'!O42),1,"")))</x:f>
      </x:c>
      <x:c r="AA49" s="13" t="str">
        <x:f>IF(OR('节点与说明'!H42="不适用",20&gt;'时间线'!$C$9+1),"",IF(AND(20&gt;='节点与说明'!O42,20&lt;='节点与说明'!P42),2,IF(AND(20&gt;='节点与说明'!O42-'节点与说明'!G42,20&lt;'节点与说明'!O42),1,"")))</x:f>
      </x:c>
      <x:c r="AB49" s="13" t="str">
        <x:f>IF(OR('节点与说明'!H42="不适用",21&gt;'时间线'!$C$9+1),"",IF(AND(21&gt;='节点与说明'!O42,21&lt;='节点与说明'!P42),2,IF(AND(21&gt;='节点与说明'!O42-'节点与说明'!G42,21&lt;'节点与说明'!O42),1,"")))</x:f>
      </x:c>
      <x:c r="AC49" s="13" t="str">
        <x:f>IF(OR('节点与说明'!H42="不适用",22&gt;'时间线'!$C$9+1),"",IF(AND(22&gt;='节点与说明'!O42,22&lt;='节点与说明'!P42),2,IF(AND(22&gt;='节点与说明'!O42-'节点与说明'!G42,22&lt;'节点与说明'!O42),1,"")))</x:f>
      </x:c>
      <x:c r="AD49" s="13" t="str">
        <x:f>IF(OR('节点与说明'!H42="不适用",23&gt;'时间线'!$C$9+1),"",IF(AND(23&gt;='节点与说明'!O42,23&lt;='节点与说明'!P42),2,IF(AND(23&gt;='节点与说明'!O42-'节点与说明'!G42,23&lt;'节点与说明'!O42),1,"")))</x:f>
      </x:c>
      <x:c r="AE49" s="13" t="str">
        <x:f>IF(OR('节点与说明'!H42="不适用",24&gt;'时间线'!$C$9+1),"",IF(AND(24&gt;='节点与说明'!O42,24&lt;='节点与说明'!P42),2,IF(AND(24&gt;='节点与说明'!O42-'节点与说明'!G42,24&lt;'节点与说明'!O42),1,"")))</x:f>
      </x:c>
      <x:c r="AF49" s="13" t="str">
        <x:f>IF(OR('节点与说明'!H42="不适用",25&gt;'时间线'!$C$9+1),"",IF(AND(25&gt;='节点与说明'!O42,25&lt;='节点与说明'!P42),2,IF(AND(25&gt;='节点与说明'!O42-'节点与说明'!G42,25&lt;'节点与说明'!O42),1,"")))</x:f>
      </x:c>
      <x:c r="AG49" s="13" t="str">
        <x:f>IF(OR('节点与说明'!H42="不适用",26&gt;'时间线'!$C$9+1),"",IF(AND(26&gt;='节点与说明'!O42,26&lt;='节点与说明'!P42),2,IF(AND(26&gt;='节点与说明'!O42-'节点与说明'!G42,26&lt;'节点与说明'!O42),1,"")))</x:f>
      </x:c>
      <x:c r="AH49" s="13" t="str">
        <x:f>IF(OR('节点与说明'!H42="不适用",27&gt;'时间线'!$C$9+1),"",IF(AND(27&gt;='节点与说明'!O42,27&lt;='节点与说明'!P42),2,IF(AND(27&gt;='节点与说明'!O42-'节点与说明'!G42,27&lt;'节点与说明'!O42),1,"")))</x:f>
      </x:c>
      <x:c r="AI49" s="13" t="str">
        <x:f>IF(OR('节点与说明'!H42="不适用",28&gt;'时间线'!$C$9+1),"",IF(AND(28&gt;='节点与说明'!O42,28&lt;='节点与说明'!P42),2,IF(AND(28&gt;='节点与说明'!O42-'节点与说明'!G42,28&lt;'节点与说明'!O42),1,"")))</x:f>
      </x:c>
      <x:c r="AJ49" s="13" t="str">
        <x:f>IF(OR('节点与说明'!H42="不适用",29&gt;'时间线'!$C$9+1),"",IF(AND(29&gt;='节点与说明'!O42,29&lt;='节点与说明'!P42),2,IF(AND(29&gt;='节点与说明'!O42-'节点与说明'!G42,29&lt;'节点与说明'!O42),1,"")))</x:f>
      </x:c>
      <x:c r="AK49" s="13" t="str">
        <x:f>IF(OR('节点与说明'!H42="不适用",30&gt;'时间线'!$C$9+1),"",IF(AND(30&gt;='节点与说明'!O42,30&lt;='节点与说明'!P42),2,IF(AND(30&gt;='节点与说明'!O42-'节点与说明'!G42,30&lt;'节点与说明'!O42),1,"")))</x:f>
      </x:c>
      <x:c r="AL49" s="13" t="str">
        <x:f>IF(OR('节点与说明'!H42="不适用",31&gt;'时间线'!$C$9+1),"",IF(AND(31&gt;='节点与说明'!O42,31&lt;='节点与说明'!P42),2,IF(AND(31&gt;='节点与说明'!O42-'节点与说明'!G42,31&lt;'节点与说明'!O42),1,"")))</x:f>
      </x:c>
      <x:c r="AM49" s="13" t="str">
        <x:f>IF(OR('节点与说明'!H42="不适用",32&gt;'时间线'!$C$9+1),"",IF(AND(32&gt;='节点与说明'!O42,32&lt;='节点与说明'!P42),2,IF(AND(32&gt;='节点与说明'!O42-'节点与说明'!G42,32&lt;'节点与说明'!O42),1,"")))</x:f>
      </x:c>
      <x:c r="AN49" s="13" t="str">
        <x:f>IF(OR('节点与说明'!H42="不适用",33&gt;'时间线'!$C$9+1),"",IF(AND(33&gt;='节点与说明'!O42,33&lt;='节点与说明'!P42),2,IF(AND(33&gt;='节点与说明'!O42-'节点与说明'!G42,33&lt;'节点与说明'!O42),1,"")))</x:f>
      </x:c>
      <x:c r="AO49" s="13" t="str">
        <x:f>IF(OR('节点与说明'!H42="不适用",34&gt;'时间线'!$C$9+1),"",IF(AND(34&gt;='节点与说明'!O42,34&lt;='节点与说明'!P42),2,IF(AND(34&gt;='节点与说明'!O42-'节点与说明'!G42,34&lt;'节点与说明'!O42),1,"")))</x:f>
      </x:c>
      <x:c r="AP49" s="13" t="str">
        <x:f>IF(OR('节点与说明'!H42="不适用",35&gt;'时间线'!$C$9+1),"",IF(AND(35&gt;='节点与说明'!O42,35&lt;='节点与说明'!P42),2,IF(AND(35&gt;='节点与说明'!O42-'节点与说明'!G42,35&lt;'节点与说明'!O42),1,"")))</x:f>
      </x:c>
      <x:c r="AQ49" s="2"/>
      <x:c r="AR49" s="11" t="str">
        <x:f>'节点与说明'!N42</x:f>
        <x:v>提前2–3个月联系落地伙伴；毕业前能否完成中期、结题与报销须先评估。</x:v>
      </x:c>
    </x:row>
    <x:row r="50" ht="38" customHeight="1">
      <x:c r="A50" s="2" t="str">
        <x:f>'节点与说明'!A43</x:f>
        <x:v>C06</x:v>
      </x:c>
      <x:c r="B50" s="19" t="str">
        <x:f>'节点与说明'!B43</x:f>
        <x:v>项目</x:v>
      </x:c>
      <x:c r="C50" s="11" t="str">
        <x:f>'节点与说明'!C43</x:f>
        <x:v>校院际／导师科研交流准备</x:v>
      </x:c>
      <x:c r="D50" s="2" t="str">
        <x:f>'节点与说明'!H43</x:f>
        <x:v>待确认</x:v>
      </x:c>
      <x:c r="E50" s="2" t="n">
        <x:f>'节点与说明'!G43</x:f>
        <x:v>6</x:v>
      </x:c>
      <x:c r="F50" s="2" t="str">
        <x:f>'节点与说明'!S43</x:f>
        <x:v>研1·9月</x:v>
      </x:c>
      <x:c r="G50" s="13" t="n">
        <x:f>IF(OR('节点与说明'!H43="不适用",0&gt;'时间线'!$C$9+1),"",IF(AND(0&gt;='节点与说明'!O43,0&lt;='节点与说明'!P43),2,IF(AND(0&gt;='节点与说明'!O43-'节点与说明'!G43,0&lt;'节点与说明'!O43),1,"")))</x:f>
        <x:v>1</x:v>
      </x:c>
      <x:c r="H50" s="13" t="n">
        <x:f>IF(OR('节点与说明'!H43="不适用",1&gt;'时间线'!$C$9+1),"",IF(AND(1&gt;='节点与说明'!O43,1&lt;='节点与说明'!P43),2,IF(AND(1&gt;='节点与说明'!O43-'节点与说明'!G43,1&lt;'节点与说明'!O43),1,"")))</x:f>
        <x:v>1</x:v>
      </x:c>
      <x:c r="I50" s="13" t="n">
        <x:f>IF(OR('节点与说明'!H43="不适用",2&gt;'时间线'!$C$9+1),"",IF(AND(2&gt;='节点与说明'!O43,2&lt;='节点与说明'!P43),2,IF(AND(2&gt;='节点与说明'!O43-'节点与说明'!G43,2&lt;'节点与说明'!O43),1,"")))</x:f>
        <x:v>1</x:v>
      </x:c>
      <x:c r="J50" s="13" t="n">
        <x:f>IF(OR('节点与说明'!H43="不适用",3&gt;'时间线'!$C$9+1),"",IF(AND(3&gt;='节点与说明'!O43,3&lt;='节点与说明'!P43),2,IF(AND(3&gt;='节点与说明'!O43-'节点与说明'!G43,3&lt;'节点与说明'!O43),1,"")))</x:f>
        <x:v>1</x:v>
      </x:c>
      <x:c r="K50" s="13" t="n">
        <x:f>IF(OR('节点与说明'!H43="不适用",4&gt;'时间线'!$C$9+1),"",IF(AND(4&gt;='节点与说明'!O43,4&lt;='节点与说明'!P43),2,IF(AND(4&gt;='节点与说明'!O43-'节点与说明'!G43,4&lt;'节点与说明'!O43),1,"")))</x:f>
        <x:v>1</x:v>
      </x:c>
      <x:c r="L50" s="13" t="n">
        <x:f>IF(OR('节点与说明'!H43="不适用",5&gt;'时间线'!$C$9+1),"",IF(AND(5&gt;='节点与说明'!O43,5&lt;='节点与说明'!P43),2,IF(AND(5&gt;='节点与说明'!O43-'节点与说明'!G43,5&lt;'节点与说明'!O43),1,"")))</x:f>
        <x:v>1</x:v>
      </x:c>
      <x:c r="M50" s="13" t="n">
        <x:f>IF(OR('节点与说明'!H43="不适用",6&gt;'时间线'!$C$9+1),"",IF(AND(6&gt;='节点与说明'!O43,6&lt;='节点与说明'!P43),2,IF(AND(6&gt;='节点与说明'!O43-'节点与说明'!G43,6&lt;'节点与说明'!O43),1,"")))</x:f>
        <x:v>2</x:v>
      </x:c>
      <x:c r="N50" s="13" t="n">
        <x:f>IF(OR('节点与说明'!H43="不适用",7&gt;'时间线'!$C$9+1),"",IF(AND(7&gt;='节点与说明'!O43,7&lt;='节点与说明'!P43),2,IF(AND(7&gt;='节点与说明'!O43-'节点与说明'!G43,7&lt;'节点与说明'!O43),1,"")))</x:f>
        <x:v>2</x:v>
      </x:c>
      <x:c r="O50" s="13" t="n">
        <x:f>IF(OR('节点与说明'!H43="不适用",8&gt;'时间线'!$C$9+1),"",IF(AND(8&gt;='节点与说明'!O43,8&lt;='节点与说明'!P43),2,IF(AND(8&gt;='节点与说明'!O43-'节点与说明'!G43,8&lt;'节点与说明'!O43),1,"")))</x:f>
        <x:v>2</x:v>
      </x:c>
      <x:c r="P50" s="13" t="n">
        <x:f>IF(OR('节点与说明'!H43="不适用",9&gt;'时间线'!$C$9+1),"",IF(AND(9&gt;='节点与说明'!O43,9&lt;='节点与说明'!P43),2,IF(AND(9&gt;='节点与说明'!O43-'节点与说明'!G43,9&lt;'节点与说明'!O43),1,"")))</x:f>
        <x:v>2</x:v>
      </x:c>
      <x:c r="Q50" s="13" t="n">
        <x:f>IF(OR('节点与说明'!H43="不适用",10&gt;'时间线'!$C$9+1),"",IF(AND(10&gt;='节点与说明'!O43,10&lt;='节点与说明'!P43),2,IF(AND(10&gt;='节点与说明'!O43-'节点与说明'!G43,10&lt;'节点与说明'!O43),1,"")))</x:f>
        <x:v>2</x:v>
      </x:c>
      <x:c r="R50" s="13" t="n">
        <x:f>IF(OR('节点与说明'!H43="不适用",11&gt;'时间线'!$C$9+1),"",IF(AND(11&gt;='节点与说明'!O43,11&lt;='节点与说明'!P43),2,IF(AND(11&gt;='节点与说明'!O43-'节点与说明'!G43,11&lt;'节点与说明'!O43),1,"")))</x:f>
        <x:v>2</x:v>
      </x:c>
      <x:c r="S50" s="13" t="n">
        <x:f>IF(OR('节点与说明'!H43="不适用",12&gt;'时间线'!$C$9+1),"",IF(AND(12&gt;='节点与说明'!O43,12&lt;='节点与说明'!P43),2,IF(AND(12&gt;='节点与说明'!O43-'节点与说明'!G43,12&lt;'节点与说明'!O43),1,"")))</x:f>
        <x:v>2</x:v>
      </x:c>
      <x:c r="T50" s="13" t="n">
        <x:f>IF(OR('节点与说明'!H43="不适用",13&gt;'时间线'!$C$9+1),"",IF(AND(13&gt;='节点与说明'!O43,13&lt;='节点与说明'!P43),2,IF(AND(13&gt;='节点与说明'!O43-'节点与说明'!G43,13&lt;'节点与说明'!O43),1,"")))</x:f>
        <x:v>2</x:v>
      </x:c>
      <x:c r="U50" s="13" t="n">
        <x:f>IF(OR('节点与说明'!H43="不适用",14&gt;'时间线'!$C$9+1),"",IF(AND(14&gt;='节点与说明'!O43,14&lt;='节点与说明'!P43),2,IF(AND(14&gt;='节点与说明'!O43-'节点与说明'!G43,14&lt;'节点与说明'!O43),1,"")))</x:f>
        <x:v>2</x:v>
      </x:c>
      <x:c r="V50" s="13" t="n">
        <x:f>IF(OR('节点与说明'!H43="不适用",15&gt;'时间线'!$C$9+1),"",IF(AND(15&gt;='节点与说明'!O43,15&lt;='节点与说明'!P43),2,IF(AND(15&gt;='节点与说明'!O43-'节点与说明'!G43,15&lt;'节点与说明'!O43),1,"")))</x:f>
        <x:v>2</x:v>
      </x:c>
      <x:c r="W50" s="13" t="n">
        <x:f>IF(OR('节点与说明'!H43="不适用",16&gt;'时间线'!$C$9+1),"",IF(AND(16&gt;='节点与说明'!O43,16&lt;='节点与说明'!P43),2,IF(AND(16&gt;='节点与说明'!O43-'节点与说明'!G43,16&lt;'节点与说明'!O43),1,"")))</x:f>
        <x:v>2</x:v>
      </x:c>
      <x:c r="X50" s="13" t="n">
        <x:f>IF(OR('节点与说明'!H43="不适用",17&gt;'时间线'!$C$9+1),"",IF(AND(17&gt;='节点与说明'!O43,17&lt;='节点与说明'!P43),2,IF(AND(17&gt;='节点与说明'!O43-'节点与说明'!G43,17&lt;'节点与说明'!O43),1,"")))</x:f>
        <x:v>2</x:v>
      </x:c>
      <x:c r="Y50" s="13" t="str">
        <x:f>IF(OR('节点与说明'!H43="不适用",18&gt;'时间线'!$C$9+1),"",IF(AND(18&gt;='节点与说明'!O43,18&lt;='节点与说明'!P43),2,IF(AND(18&gt;='节点与说明'!O43-'节点与说明'!G43,18&lt;'节点与说明'!O43),1,"")))</x:f>
      </x:c>
      <x:c r="Z50" s="13" t="str">
        <x:f>IF(OR('节点与说明'!H43="不适用",19&gt;'时间线'!$C$9+1),"",IF(AND(19&gt;='节点与说明'!O43,19&lt;='节点与说明'!P43),2,IF(AND(19&gt;='节点与说明'!O43-'节点与说明'!G43,19&lt;'节点与说明'!O43),1,"")))</x:f>
      </x:c>
      <x:c r="AA50" s="13" t="str">
        <x:f>IF(OR('节点与说明'!H43="不适用",20&gt;'时间线'!$C$9+1),"",IF(AND(20&gt;='节点与说明'!O43,20&lt;='节点与说明'!P43),2,IF(AND(20&gt;='节点与说明'!O43-'节点与说明'!G43,20&lt;'节点与说明'!O43),1,"")))</x:f>
      </x:c>
      <x:c r="AB50" s="13" t="str">
        <x:f>IF(OR('节点与说明'!H43="不适用",21&gt;'时间线'!$C$9+1),"",IF(AND(21&gt;='节点与说明'!O43,21&lt;='节点与说明'!P43),2,IF(AND(21&gt;='节点与说明'!O43-'节点与说明'!G43,21&lt;'节点与说明'!O43),1,"")))</x:f>
      </x:c>
      <x:c r="AC50" s="13" t="str">
        <x:f>IF(OR('节点与说明'!H43="不适用",22&gt;'时间线'!$C$9+1),"",IF(AND(22&gt;='节点与说明'!O43,22&lt;='节点与说明'!P43),2,IF(AND(22&gt;='节点与说明'!O43-'节点与说明'!G43,22&lt;'节点与说明'!O43),1,"")))</x:f>
      </x:c>
      <x:c r="AD50" s="13" t="str">
        <x:f>IF(OR('节点与说明'!H43="不适用",23&gt;'时间线'!$C$9+1),"",IF(AND(23&gt;='节点与说明'!O43,23&lt;='节点与说明'!P43),2,IF(AND(23&gt;='节点与说明'!O43-'节点与说明'!G43,23&lt;'节点与说明'!O43),1,"")))</x:f>
      </x:c>
      <x:c r="AE50" s="13" t="str">
        <x:f>IF(OR('节点与说明'!H43="不适用",24&gt;'时间线'!$C$9+1),"",IF(AND(24&gt;='节点与说明'!O43,24&lt;='节点与说明'!P43),2,IF(AND(24&gt;='节点与说明'!O43-'节点与说明'!G43,24&lt;'节点与说明'!O43),1,"")))</x:f>
      </x:c>
      <x:c r="AF50" s="13" t="str">
        <x:f>IF(OR('节点与说明'!H43="不适用",25&gt;'时间线'!$C$9+1),"",IF(AND(25&gt;='节点与说明'!O43,25&lt;='节点与说明'!P43),2,IF(AND(25&gt;='节点与说明'!O43-'节点与说明'!G43,25&lt;'节点与说明'!O43),1,"")))</x:f>
      </x:c>
      <x:c r="AG50" s="13" t="str">
        <x:f>IF(OR('节点与说明'!H43="不适用",26&gt;'时间线'!$C$9+1),"",IF(AND(26&gt;='节点与说明'!O43,26&lt;='节点与说明'!P43),2,IF(AND(26&gt;='节点与说明'!O43-'节点与说明'!G43,26&lt;'节点与说明'!O43),1,"")))</x:f>
      </x:c>
      <x:c r="AH50" s="13" t="str">
        <x:f>IF(OR('节点与说明'!H43="不适用",27&gt;'时间线'!$C$9+1),"",IF(AND(27&gt;='节点与说明'!O43,27&lt;='节点与说明'!P43),2,IF(AND(27&gt;='节点与说明'!O43-'节点与说明'!G43,27&lt;'节点与说明'!O43),1,"")))</x:f>
      </x:c>
      <x:c r="AI50" s="13" t="str">
        <x:f>IF(OR('节点与说明'!H43="不适用",28&gt;'时间线'!$C$9+1),"",IF(AND(28&gt;='节点与说明'!O43,28&lt;='节点与说明'!P43),2,IF(AND(28&gt;='节点与说明'!O43-'节点与说明'!G43,28&lt;'节点与说明'!O43),1,"")))</x:f>
      </x:c>
      <x:c r="AJ50" s="13" t="str">
        <x:f>IF(OR('节点与说明'!H43="不适用",29&gt;'时间线'!$C$9+1),"",IF(AND(29&gt;='节点与说明'!O43,29&lt;='节点与说明'!P43),2,IF(AND(29&gt;='节点与说明'!O43-'节点与说明'!G43,29&lt;'节点与说明'!O43),1,"")))</x:f>
      </x:c>
      <x:c r="AK50" s="13" t="str">
        <x:f>IF(OR('节点与说明'!H43="不适用",30&gt;'时间线'!$C$9+1),"",IF(AND(30&gt;='节点与说明'!O43,30&lt;='节点与说明'!P43),2,IF(AND(30&gt;='节点与说明'!O43-'节点与说明'!G43,30&lt;'节点与说明'!O43),1,"")))</x:f>
      </x:c>
      <x:c r="AL50" s="13" t="str">
        <x:f>IF(OR('节点与说明'!H43="不适用",31&gt;'时间线'!$C$9+1),"",IF(AND(31&gt;='节点与说明'!O43,31&lt;='节点与说明'!P43),2,IF(AND(31&gt;='节点与说明'!O43-'节点与说明'!G43,31&lt;'节点与说明'!O43),1,"")))</x:f>
      </x:c>
      <x:c r="AM50" s="13" t="str">
        <x:f>IF(OR('节点与说明'!H43="不适用",32&gt;'时间线'!$C$9+1),"",IF(AND(32&gt;='节点与说明'!O43,32&lt;='节点与说明'!P43),2,IF(AND(32&gt;='节点与说明'!O43-'节点与说明'!G43,32&lt;'节点与说明'!O43),1,"")))</x:f>
      </x:c>
      <x:c r="AN50" s="13" t="str">
        <x:f>IF(OR('节点与说明'!H43="不适用",33&gt;'时间线'!$C$9+1),"",IF(AND(33&gt;='节点与说明'!O43,33&lt;='节点与说明'!P43),2,IF(AND(33&gt;='节点与说明'!O43-'节点与说明'!G43,33&lt;'节点与说明'!O43),1,"")))</x:f>
      </x:c>
      <x:c r="AO50" s="13" t="str">
        <x:f>IF(OR('节点与说明'!H43="不适用",34&gt;'时间线'!$C$9+1),"",IF(AND(34&gt;='节点与说明'!O43,34&lt;='节点与说明'!P43),2,IF(AND(34&gt;='节点与说明'!O43-'节点与说明'!G43,34&lt;'节点与说明'!O43),1,"")))</x:f>
      </x:c>
      <x:c r="AP50" s="13" t="str">
        <x:f>IF(OR('节点与说明'!H43="不适用",35&gt;'时间线'!$C$9+1),"",IF(AND(35&gt;='节点与说明'!O43,35&lt;='节点与说明'!P43),2,IF(AND(35&gt;='节点与说明'!O43-'节点与说明'!G43,35&lt;'节点与说明'!O43),1,"")))</x:f>
      </x:c>
      <x:c r="AQ50" s="2"/>
      <x:c r="AR50" s="11" t="str">
        <x:f>'节点与说明'!N43</x:f>
        <x:v>提前6–12个月准备方向和语言，出发前核齐审批及学籍安排。</x:v>
      </x:c>
    </x:row>
    <x:row r="51" ht="38" customHeight="1">
      <x:c r="A51" s="2" t="str">
        <x:f>'节点与说明'!A44</x:f>
        <x:v>D01</x:v>
      </x:c>
      <x:c r="B51" s="21" t="str">
        <x:f>'节点与说明'!B44</x:f>
        <x:v>证书</x:v>
      </x:c>
      <x:c r="C51" s="11" t="str">
        <x:f>'节点与说明'!C44</x:f>
        <x:v>岗位证书与报考资格筛选</x:v>
      </x:c>
      <x:c r="D51" s="2" t="str">
        <x:f>'节点与说明'!H44</x:f>
        <x:v>待确认</x:v>
      </x:c>
      <x:c r="E51" s="2" t="n">
        <x:f>'节点与说明'!G44</x:f>
        <x:v>0</x:v>
      </x:c>
      <x:c r="F51" s="2" t="str">
        <x:f>'节点与说明'!S44</x:f>
        <x:v>研1·10月</x:v>
      </x:c>
      <x:c r="G51" s="13" t="str">
        <x:f>IF(OR('节点与说明'!H44="不适用",0&gt;'时间线'!$C$9+1),"",IF(AND(0&gt;='节点与说明'!O44,0&lt;='节点与说明'!P44),2,IF(AND(0&gt;='节点与说明'!O44-'节点与说明'!G44,0&lt;'节点与说明'!O44),1,"")))</x:f>
      </x:c>
      <x:c r="H51" s="13" t="n">
        <x:f>IF(OR('节点与说明'!H44="不适用",1&gt;'时间线'!$C$9+1),"",IF(AND(1&gt;='节点与说明'!O44,1&lt;='节点与说明'!P44),2,IF(AND(1&gt;='节点与说明'!O44-'节点与说明'!G44,1&lt;'节点与说明'!O44),1,"")))</x:f>
        <x:v>2</x:v>
      </x:c>
      <x:c r="I51" s="13" t="str">
        <x:f>IF(OR('节点与说明'!H44="不适用",2&gt;'时间线'!$C$9+1),"",IF(AND(2&gt;='节点与说明'!O44,2&lt;='节点与说明'!P44),2,IF(AND(2&gt;='节点与说明'!O44-'节点与说明'!G44,2&lt;'节点与说明'!O44),1,"")))</x:f>
      </x:c>
      <x:c r="J51" s="13" t="str">
        <x:f>IF(OR('节点与说明'!H44="不适用",3&gt;'时间线'!$C$9+1),"",IF(AND(3&gt;='节点与说明'!O44,3&lt;='节点与说明'!P44),2,IF(AND(3&gt;='节点与说明'!O44-'节点与说明'!G44,3&lt;'节点与说明'!O44),1,"")))</x:f>
      </x:c>
      <x:c r="K51" s="13" t="str">
        <x:f>IF(OR('节点与说明'!H44="不适用",4&gt;'时间线'!$C$9+1),"",IF(AND(4&gt;='节点与说明'!O44,4&lt;='节点与说明'!P44),2,IF(AND(4&gt;='节点与说明'!O44-'节点与说明'!G44,4&lt;'节点与说明'!O44),1,"")))</x:f>
      </x:c>
      <x:c r="L51" s="13" t="str">
        <x:f>IF(OR('节点与说明'!H44="不适用",5&gt;'时间线'!$C$9+1),"",IF(AND(5&gt;='节点与说明'!O44,5&lt;='节点与说明'!P44),2,IF(AND(5&gt;='节点与说明'!O44-'节点与说明'!G44,5&lt;'节点与说明'!O44),1,"")))</x:f>
      </x:c>
      <x:c r="M51" s="13" t="str">
        <x:f>IF(OR('节点与说明'!H44="不适用",6&gt;'时间线'!$C$9+1),"",IF(AND(6&gt;='节点与说明'!O44,6&lt;='节点与说明'!P44),2,IF(AND(6&gt;='节点与说明'!O44-'节点与说明'!G44,6&lt;'节点与说明'!O44),1,"")))</x:f>
      </x:c>
      <x:c r="N51" s="13" t="str">
        <x:f>IF(OR('节点与说明'!H44="不适用",7&gt;'时间线'!$C$9+1),"",IF(AND(7&gt;='节点与说明'!O44,7&lt;='节点与说明'!P44),2,IF(AND(7&gt;='节点与说明'!O44-'节点与说明'!G44,7&lt;'节点与说明'!O44),1,"")))</x:f>
      </x:c>
      <x:c r="O51" s="13" t="str">
        <x:f>IF(OR('节点与说明'!H44="不适用",8&gt;'时间线'!$C$9+1),"",IF(AND(8&gt;='节点与说明'!O44,8&lt;='节点与说明'!P44),2,IF(AND(8&gt;='节点与说明'!O44-'节点与说明'!G44,8&lt;'节点与说明'!O44),1,"")))</x:f>
      </x:c>
      <x:c r="P51" s="13" t="str">
        <x:f>IF(OR('节点与说明'!H44="不适用",9&gt;'时间线'!$C$9+1),"",IF(AND(9&gt;='节点与说明'!O44,9&lt;='节点与说明'!P44),2,IF(AND(9&gt;='节点与说明'!O44-'节点与说明'!G44,9&lt;'节点与说明'!O44),1,"")))</x:f>
      </x:c>
      <x:c r="Q51" s="13" t="str">
        <x:f>IF(OR('节点与说明'!H44="不适用",10&gt;'时间线'!$C$9+1),"",IF(AND(10&gt;='节点与说明'!O44,10&lt;='节点与说明'!P44),2,IF(AND(10&gt;='节点与说明'!O44-'节点与说明'!G44,10&lt;'节点与说明'!O44),1,"")))</x:f>
      </x:c>
      <x:c r="R51" s="13" t="str">
        <x:f>IF(OR('节点与说明'!H44="不适用",11&gt;'时间线'!$C$9+1),"",IF(AND(11&gt;='节点与说明'!O44,11&lt;='节点与说明'!P44),2,IF(AND(11&gt;='节点与说明'!O44-'节点与说明'!G44,11&lt;'节点与说明'!O44),1,"")))</x:f>
      </x:c>
      <x:c r="S51" s="13" t="str">
        <x:f>IF(OR('节点与说明'!H44="不适用",12&gt;'时间线'!$C$9+1),"",IF(AND(12&gt;='节点与说明'!O44,12&lt;='节点与说明'!P44),2,IF(AND(12&gt;='节点与说明'!O44-'节点与说明'!G44,12&lt;'节点与说明'!O44),1,"")))</x:f>
      </x:c>
      <x:c r="T51" s="13" t="str">
        <x:f>IF(OR('节点与说明'!H44="不适用",13&gt;'时间线'!$C$9+1),"",IF(AND(13&gt;='节点与说明'!O44,13&lt;='节点与说明'!P44),2,IF(AND(13&gt;='节点与说明'!O44-'节点与说明'!G44,13&lt;'节点与说明'!O44),1,"")))</x:f>
      </x:c>
      <x:c r="U51" s="13" t="str">
        <x:f>IF(OR('节点与说明'!H44="不适用",14&gt;'时间线'!$C$9+1),"",IF(AND(14&gt;='节点与说明'!O44,14&lt;='节点与说明'!P44),2,IF(AND(14&gt;='节点与说明'!O44-'节点与说明'!G44,14&lt;'节点与说明'!O44),1,"")))</x:f>
      </x:c>
      <x:c r="V51" s="13" t="str">
        <x:f>IF(OR('节点与说明'!H44="不适用",15&gt;'时间线'!$C$9+1),"",IF(AND(15&gt;='节点与说明'!O44,15&lt;='节点与说明'!P44),2,IF(AND(15&gt;='节点与说明'!O44-'节点与说明'!G44,15&lt;'节点与说明'!O44),1,"")))</x:f>
      </x:c>
      <x:c r="W51" s="13" t="str">
        <x:f>IF(OR('节点与说明'!H44="不适用",16&gt;'时间线'!$C$9+1),"",IF(AND(16&gt;='节点与说明'!O44,16&lt;='节点与说明'!P44),2,IF(AND(16&gt;='节点与说明'!O44-'节点与说明'!G44,16&lt;'节点与说明'!O44),1,"")))</x:f>
      </x:c>
      <x:c r="X51" s="13" t="str">
        <x:f>IF(OR('节点与说明'!H44="不适用",17&gt;'时间线'!$C$9+1),"",IF(AND(17&gt;='节点与说明'!O44,17&lt;='节点与说明'!P44),2,IF(AND(17&gt;='节点与说明'!O44-'节点与说明'!G44,17&lt;'节点与说明'!O44),1,"")))</x:f>
      </x:c>
      <x:c r="Y51" s="13" t="str">
        <x:f>IF(OR('节点与说明'!H44="不适用",18&gt;'时间线'!$C$9+1),"",IF(AND(18&gt;='节点与说明'!O44,18&lt;='节点与说明'!P44),2,IF(AND(18&gt;='节点与说明'!O44-'节点与说明'!G44,18&lt;'节点与说明'!O44),1,"")))</x:f>
      </x:c>
      <x:c r="Z51" s="13" t="str">
        <x:f>IF(OR('节点与说明'!H44="不适用",19&gt;'时间线'!$C$9+1),"",IF(AND(19&gt;='节点与说明'!O44,19&lt;='节点与说明'!P44),2,IF(AND(19&gt;='节点与说明'!O44-'节点与说明'!G44,19&lt;'节点与说明'!O44),1,"")))</x:f>
      </x:c>
      <x:c r="AA51" s="13" t="str">
        <x:f>IF(OR('节点与说明'!H44="不适用",20&gt;'时间线'!$C$9+1),"",IF(AND(20&gt;='节点与说明'!O44,20&lt;='节点与说明'!P44),2,IF(AND(20&gt;='节点与说明'!O44-'节点与说明'!G44,20&lt;'节点与说明'!O44),1,"")))</x:f>
      </x:c>
      <x:c r="AB51" s="13" t="str">
        <x:f>IF(OR('节点与说明'!H44="不适用",21&gt;'时间线'!$C$9+1),"",IF(AND(21&gt;='节点与说明'!O44,21&lt;='节点与说明'!P44),2,IF(AND(21&gt;='节点与说明'!O44-'节点与说明'!G44,21&lt;'节点与说明'!O44),1,"")))</x:f>
      </x:c>
      <x:c r="AC51" s="13" t="str">
        <x:f>IF(OR('节点与说明'!H44="不适用",22&gt;'时间线'!$C$9+1),"",IF(AND(22&gt;='节点与说明'!O44,22&lt;='节点与说明'!P44),2,IF(AND(22&gt;='节点与说明'!O44-'节点与说明'!G44,22&lt;'节点与说明'!O44),1,"")))</x:f>
      </x:c>
      <x:c r="AD51" s="13" t="str">
        <x:f>IF(OR('节点与说明'!H44="不适用",23&gt;'时间线'!$C$9+1),"",IF(AND(23&gt;='节点与说明'!O44,23&lt;='节点与说明'!P44),2,IF(AND(23&gt;='节点与说明'!O44-'节点与说明'!G44,23&lt;'节点与说明'!O44),1,"")))</x:f>
      </x:c>
      <x:c r="AE51" s="13" t="str">
        <x:f>IF(OR('节点与说明'!H44="不适用",24&gt;'时间线'!$C$9+1),"",IF(AND(24&gt;='节点与说明'!O44,24&lt;='节点与说明'!P44),2,IF(AND(24&gt;='节点与说明'!O44-'节点与说明'!G44,24&lt;'节点与说明'!O44),1,"")))</x:f>
      </x:c>
      <x:c r="AF51" s="13" t="str">
        <x:f>IF(OR('节点与说明'!H44="不适用",25&gt;'时间线'!$C$9+1),"",IF(AND(25&gt;='节点与说明'!O44,25&lt;='节点与说明'!P44),2,IF(AND(25&gt;='节点与说明'!O44-'节点与说明'!G44,25&lt;'节点与说明'!O44),1,"")))</x:f>
      </x:c>
      <x:c r="AG51" s="13" t="str">
        <x:f>IF(OR('节点与说明'!H44="不适用",26&gt;'时间线'!$C$9+1),"",IF(AND(26&gt;='节点与说明'!O44,26&lt;='节点与说明'!P44),2,IF(AND(26&gt;='节点与说明'!O44-'节点与说明'!G44,26&lt;'节点与说明'!O44),1,"")))</x:f>
      </x:c>
      <x:c r="AH51" s="13" t="str">
        <x:f>IF(OR('节点与说明'!H44="不适用",27&gt;'时间线'!$C$9+1),"",IF(AND(27&gt;='节点与说明'!O44,27&lt;='节点与说明'!P44),2,IF(AND(27&gt;='节点与说明'!O44-'节点与说明'!G44,27&lt;'节点与说明'!O44),1,"")))</x:f>
      </x:c>
      <x:c r="AI51" s="13" t="str">
        <x:f>IF(OR('节点与说明'!H44="不适用",28&gt;'时间线'!$C$9+1),"",IF(AND(28&gt;='节点与说明'!O44,28&lt;='节点与说明'!P44),2,IF(AND(28&gt;='节点与说明'!O44-'节点与说明'!G44,28&lt;'节点与说明'!O44),1,"")))</x:f>
      </x:c>
      <x:c r="AJ51" s="13" t="str">
        <x:f>IF(OR('节点与说明'!H44="不适用",29&gt;'时间线'!$C$9+1),"",IF(AND(29&gt;='节点与说明'!O44,29&lt;='节点与说明'!P44),2,IF(AND(29&gt;='节点与说明'!O44-'节点与说明'!G44,29&lt;'节点与说明'!O44),1,"")))</x:f>
      </x:c>
      <x:c r="AK51" s="13" t="str">
        <x:f>IF(OR('节点与说明'!H44="不适用",30&gt;'时间线'!$C$9+1),"",IF(AND(30&gt;='节点与说明'!O44,30&lt;='节点与说明'!P44),2,IF(AND(30&gt;='节点与说明'!O44-'节点与说明'!G44,30&lt;'节点与说明'!O44),1,"")))</x:f>
      </x:c>
      <x:c r="AL51" s="13" t="str">
        <x:f>IF(OR('节点与说明'!H44="不适用",31&gt;'时间线'!$C$9+1),"",IF(AND(31&gt;='节点与说明'!O44,31&lt;='节点与说明'!P44),2,IF(AND(31&gt;='节点与说明'!O44-'节点与说明'!G44,31&lt;'节点与说明'!O44),1,"")))</x:f>
      </x:c>
      <x:c r="AM51" s="13" t="str">
        <x:f>IF(OR('节点与说明'!H44="不适用",32&gt;'时间线'!$C$9+1),"",IF(AND(32&gt;='节点与说明'!O44,32&lt;='节点与说明'!P44),2,IF(AND(32&gt;='节点与说明'!O44-'节点与说明'!G44,32&lt;'节点与说明'!O44),1,"")))</x:f>
      </x:c>
      <x:c r="AN51" s="13" t="str">
        <x:f>IF(OR('节点与说明'!H44="不适用",33&gt;'时间线'!$C$9+1),"",IF(AND(33&gt;='节点与说明'!O44,33&lt;='节点与说明'!P44),2,IF(AND(33&gt;='节点与说明'!O44-'节点与说明'!G44,33&lt;'节点与说明'!O44),1,"")))</x:f>
      </x:c>
      <x:c r="AO51" s="13" t="str">
        <x:f>IF(OR('节点与说明'!H44="不适用",34&gt;'时间线'!$C$9+1),"",IF(AND(34&gt;='节点与说明'!O44,34&lt;='节点与说明'!P44),2,IF(AND(34&gt;='节点与说明'!O44-'节点与说明'!G44,34&lt;'节点与说明'!O44),1,"")))</x:f>
      </x:c>
      <x:c r="AP51" s="13" t="str">
        <x:f>IF(OR('节点与说明'!H44="不适用",35&gt;'时间线'!$C$9+1),"",IF(AND(35&gt;='节点与说明'!O44,35&lt;='节点与说明'!P44),2,IF(AND(35&gt;='节点与说明'!O44-'节点与说明'!G44,35&lt;'节点与说明'!O44),1,"")))</x:f>
      </x:c>
      <x:c r="AQ51" s="2"/>
      <x:c r="AR51" s="11" t="str">
        <x:f>'节点与说明'!N44</x:f>
        <x:v>已有证书或成绩先盘点，再决定是否提升或新增。</x:v>
      </x:c>
    </x:row>
    <x:row r="52" ht="38" customHeight="1">
      <x:c r="A52" s="2" t="str">
        <x:f>'节点与说明'!A45</x:f>
        <x:v>D02</x:v>
      </x:c>
      <x:c r="B52" s="21" t="str">
        <x:f>'节点与说明'!B45</x:f>
        <x:v>证书</x:v>
      </x:c>
      <x:c r="C52" s="11" t="str">
        <x:f>'节点与说明'!C45</x:f>
        <x:v>CET目标分数评估与备考</x:v>
      </x:c>
      <x:c r="D52" s="2" t="str">
        <x:f>'节点与说明'!H45</x:f>
        <x:v>待确认</x:v>
      </x:c>
      <x:c r="E52" s="2" t="n">
        <x:f>'节点与说明'!G45</x:f>
        <x:v>0</x:v>
      </x:c>
      <x:c r="F52" s="2" t="str">
        <x:f>'节点与说明'!S45</x:f>
        <x:v>研1·11月</x:v>
      </x:c>
      <x:c r="G52" s="13" t="str">
        <x:f>IF(OR('节点与说明'!H45="不适用",0&gt;'时间线'!$C$9+1),"",IF(AND(0&gt;='节点与说明'!O45,0&lt;='节点与说明'!P45),2,IF(AND(0&gt;='节点与说明'!O45-'节点与说明'!G45,0&lt;'节点与说明'!O45),1,"")))</x:f>
      </x:c>
      <x:c r="H52" s="13" t="str">
        <x:f>IF(OR('节点与说明'!H45="不适用",1&gt;'时间线'!$C$9+1),"",IF(AND(1&gt;='节点与说明'!O45,1&lt;='节点与说明'!P45),2,IF(AND(1&gt;='节点与说明'!O45-'节点与说明'!G45,1&lt;'节点与说明'!O45),1,"")))</x:f>
      </x:c>
      <x:c r="I52" s="13" t="n">
        <x:f>IF(OR('节点与说明'!H45="不适用",2&gt;'时间线'!$C$9+1),"",IF(AND(2&gt;='节点与说明'!O45,2&lt;='节点与说明'!P45),2,IF(AND(2&gt;='节点与说明'!O45-'节点与说明'!G45,2&lt;'节点与说明'!O45),1,"")))</x:f>
        <x:v>2</x:v>
      </x:c>
      <x:c r="J52" s="13" t="n">
        <x:f>IF(OR('节点与说明'!H45="不适用",3&gt;'时间线'!$C$9+1),"",IF(AND(3&gt;='节点与说明'!O45,3&lt;='节点与说明'!P45),2,IF(AND(3&gt;='节点与说明'!O45-'节点与说明'!G45,3&lt;'节点与说明'!O45),1,"")))</x:f>
        <x:v>2</x:v>
      </x:c>
      <x:c r="K52" s="13" t="n">
        <x:f>IF(OR('节点与说明'!H45="不适用",4&gt;'时间线'!$C$9+1),"",IF(AND(4&gt;='节点与说明'!O45,4&lt;='节点与说明'!P45),2,IF(AND(4&gt;='节点与说明'!O45-'节点与说明'!G45,4&lt;'节点与说明'!O45),1,"")))</x:f>
        <x:v>2</x:v>
      </x:c>
      <x:c r="L52" s="13" t="str">
        <x:f>IF(OR('节点与说明'!H45="不适用",5&gt;'时间线'!$C$9+1),"",IF(AND(5&gt;='节点与说明'!O45,5&lt;='节点与说明'!P45),2,IF(AND(5&gt;='节点与说明'!O45-'节点与说明'!G45,5&lt;'节点与说明'!O45),1,"")))</x:f>
      </x:c>
      <x:c r="M52" s="13" t="str">
        <x:f>IF(OR('节点与说明'!H45="不适用",6&gt;'时间线'!$C$9+1),"",IF(AND(6&gt;='节点与说明'!O45,6&lt;='节点与说明'!P45),2,IF(AND(6&gt;='节点与说明'!O45-'节点与说明'!G45,6&lt;'节点与说明'!O45),1,"")))</x:f>
      </x:c>
      <x:c r="N52" s="13" t="str">
        <x:f>IF(OR('节点与说明'!H45="不适用",7&gt;'时间线'!$C$9+1),"",IF(AND(7&gt;='节点与说明'!O45,7&lt;='节点与说明'!P45),2,IF(AND(7&gt;='节点与说明'!O45-'节点与说明'!G45,7&lt;'节点与说明'!O45),1,"")))</x:f>
      </x:c>
      <x:c r="O52" s="13" t="str">
        <x:f>IF(OR('节点与说明'!H45="不适用",8&gt;'时间线'!$C$9+1),"",IF(AND(8&gt;='节点与说明'!O45,8&lt;='节点与说明'!P45),2,IF(AND(8&gt;='节点与说明'!O45-'节点与说明'!G45,8&lt;'节点与说明'!O45),1,"")))</x:f>
      </x:c>
      <x:c r="P52" s="13" t="str">
        <x:f>IF(OR('节点与说明'!H45="不适用",9&gt;'时间线'!$C$9+1),"",IF(AND(9&gt;='节点与说明'!O45,9&lt;='节点与说明'!P45),2,IF(AND(9&gt;='节点与说明'!O45-'节点与说明'!G45,9&lt;'节点与说明'!O45),1,"")))</x:f>
      </x:c>
      <x:c r="Q52" s="13" t="str">
        <x:f>IF(OR('节点与说明'!H45="不适用",10&gt;'时间线'!$C$9+1),"",IF(AND(10&gt;='节点与说明'!O45,10&lt;='节点与说明'!P45),2,IF(AND(10&gt;='节点与说明'!O45-'节点与说明'!G45,10&lt;'节点与说明'!O45),1,"")))</x:f>
      </x:c>
      <x:c r="R52" s="13" t="str">
        <x:f>IF(OR('节点与说明'!H45="不适用",11&gt;'时间线'!$C$9+1),"",IF(AND(11&gt;='节点与说明'!O45,11&lt;='节点与说明'!P45),2,IF(AND(11&gt;='节点与说明'!O45-'节点与说明'!G45,11&lt;'节点与说明'!O45),1,"")))</x:f>
      </x:c>
      <x:c r="S52" s="13" t="str">
        <x:f>IF(OR('节点与说明'!H45="不适用",12&gt;'时间线'!$C$9+1),"",IF(AND(12&gt;='节点与说明'!O45,12&lt;='节点与说明'!P45),2,IF(AND(12&gt;='节点与说明'!O45-'节点与说明'!G45,12&lt;'节点与说明'!O45),1,"")))</x:f>
      </x:c>
      <x:c r="T52" s="13" t="str">
        <x:f>IF(OR('节点与说明'!H45="不适用",13&gt;'时间线'!$C$9+1),"",IF(AND(13&gt;='节点与说明'!O45,13&lt;='节点与说明'!P45),2,IF(AND(13&gt;='节点与说明'!O45-'节点与说明'!G45,13&lt;'节点与说明'!O45),1,"")))</x:f>
      </x:c>
      <x:c r="U52" s="13" t="str">
        <x:f>IF(OR('节点与说明'!H45="不适用",14&gt;'时间线'!$C$9+1),"",IF(AND(14&gt;='节点与说明'!O45,14&lt;='节点与说明'!P45),2,IF(AND(14&gt;='节点与说明'!O45-'节点与说明'!G45,14&lt;'节点与说明'!O45),1,"")))</x:f>
      </x:c>
      <x:c r="V52" s="13" t="str">
        <x:f>IF(OR('节点与说明'!H45="不适用",15&gt;'时间线'!$C$9+1),"",IF(AND(15&gt;='节点与说明'!O45,15&lt;='节点与说明'!P45),2,IF(AND(15&gt;='节点与说明'!O45-'节点与说明'!G45,15&lt;'节点与说明'!O45),1,"")))</x:f>
      </x:c>
      <x:c r="W52" s="13" t="str">
        <x:f>IF(OR('节点与说明'!H45="不适用",16&gt;'时间线'!$C$9+1),"",IF(AND(16&gt;='节点与说明'!O45,16&lt;='节点与说明'!P45),2,IF(AND(16&gt;='节点与说明'!O45-'节点与说明'!G45,16&lt;'节点与说明'!O45),1,"")))</x:f>
      </x:c>
      <x:c r="X52" s="13" t="str">
        <x:f>IF(OR('节点与说明'!H45="不适用",17&gt;'时间线'!$C$9+1),"",IF(AND(17&gt;='节点与说明'!O45,17&lt;='节点与说明'!P45),2,IF(AND(17&gt;='节点与说明'!O45-'节点与说明'!G45,17&lt;'节点与说明'!O45),1,"")))</x:f>
      </x:c>
      <x:c r="Y52" s="13" t="str">
        <x:f>IF(OR('节点与说明'!H45="不适用",18&gt;'时间线'!$C$9+1),"",IF(AND(18&gt;='节点与说明'!O45,18&lt;='节点与说明'!P45),2,IF(AND(18&gt;='节点与说明'!O45-'节点与说明'!G45,18&lt;'节点与说明'!O45),1,"")))</x:f>
      </x:c>
      <x:c r="Z52" s="13" t="str">
        <x:f>IF(OR('节点与说明'!H45="不适用",19&gt;'时间线'!$C$9+1),"",IF(AND(19&gt;='节点与说明'!O45,19&lt;='节点与说明'!P45),2,IF(AND(19&gt;='节点与说明'!O45-'节点与说明'!G45,19&lt;'节点与说明'!O45),1,"")))</x:f>
      </x:c>
      <x:c r="AA52" s="13" t="str">
        <x:f>IF(OR('节点与说明'!H45="不适用",20&gt;'时间线'!$C$9+1),"",IF(AND(20&gt;='节点与说明'!O45,20&lt;='节点与说明'!P45),2,IF(AND(20&gt;='节点与说明'!O45-'节点与说明'!G45,20&lt;'节点与说明'!O45),1,"")))</x:f>
      </x:c>
      <x:c r="AB52" s="13" t="str">
        <x:f>IF(OR('节点与说明'!H45="不适用",21&gt;'时间线'!$C$9+1),"",IF(AND(21&gt;='节点与说明'!O45,21&lt;='节点与说明'!P45),2,IF(AND(21&gt;='节点与说明'!O45-'节点与说明'!G45,21&lt;'节点与说明'!O45),1,"")))</x:f>
      </x:c>
      <x:c r="AC52" s="13" t="str">
        <x:f>IF(OR('节点与说明'!H45="不适用",22&gt;'时间线'!$C$9+1),"",IF(AND(22&gt;='节点与说明'!O45,22&lt;='节点与说明'!P45),2,IF(AND(22&gt;='节点与说明'!O45-'节点与说明'!G45,22&lt;'节点与说明'!O45),1,"")))</x:f>
      </x:c>
      <x:c r="AD52" s="13" t="str">
        <x:f>IF(OR('节点与说明'!H45="不适用",23&gt;'时间线'!$C$9+1),"",IF(AND(23&gt;='节点与说明'!O45,23&lt;='节点与说明'!P45),2,IF(AND(23&gt;='节点与说明'!O45-'节点与说明'!G45,23&lt;'节点与说明'!O45),1,"")))</x:f>
      </x:c>
      <x:c r="AE52" s="13" t="str">
        <x:f>IF(OR('节点与说明'!H45="不适用",24&gt;'时间线'!$C$9+1),"",IF(AND(24&gt;='节点与说明'!O45,24&lt;='节点与说明'!P45),2,IF(AND(24&gt;='节点与说明'!O45-'节点与说明'!G45,24&lt;'节点与说明'!O45),1,"")))</x:f>
      </x:c>
      <x:c r="AF52" s="13" t="str">
        <x:f>IF(OR('节点与说明'!H45="不适用",25&gt;'时间线'!$C$9+1),"",IF(AND(25&gt;='节点与说明'!O45,25&lt;='节点与说明'!P45),2,IF(AND(25&gt;='节点与说明'!O45-'节点与说明'!G45,25&lt;'节点与说明'!O45),1,"")))</x:f>
      </x:c>
      <x:c r="AG52" s="13" t="str">
        <x:f>IF(OR('节点与说明'!H45="不适用",26&gt;'时间线'!$C$9+1),"",IF(AND(26&gt;='节点与说明'!O45,26&lt;='节点与说明'!P45),2,IF(AND(26&gt;='节点与说明'!O45-'节点与说明'!G45,26&lt;'节点与说明'!O45),1,"")))</x:f>
      </x:c>
      <x:c r="AH52" s="13" t="str">
        <x:f>IF(OR('节点与说明'!H45="不适用",27&gt;'时间线'!$C$9+1),"",IF(AND(27&gt;='节点与说明'!O45,27&lt;='节点与说明'!P45),2,IF(AND(27&gt;='节点与说明'!O45-'节点与说明'!G45,27&lt;'节点与说明'!O45),1,"")))</x:f>
      </x:c>
      <x:c r="AI52" s="13" t="str">
        <x:f>IF(OR('节点与说明'!H45="不适用",28&gt;'时间线'!$C$9+1),"",IF(AND(28&gt;='节点与说明'!O45,28&lt;='节点与说明'!P45),2,IF(AND(28&gt;='节点与说明'!O45-'节点与说明'!G45,28&lt;'节点与说明'!O45),1,"")))</x:f>
      </x:c>
      <x:c r="AJ52" s="13" t="str">
        <x:f>IF(OR('节点与说明'!H45="不适用",29&gt;'时间线'!$C$9+1),"",IF(AND(29&gt;='节点与说明'!O45,29&lt;='节点与说明'!P45),2,IF(AND(29&gt;='节点与说明'!O45-'节点与说明'!G45,29&lt;'节点与说明'!O45),1,"")))</x:f>
      </x:c>
      <x:c r="AK52" s="13" t="str">
        <x:f>IF(OR('节点与说明'!H45="不适用",30&gt;'时间线'!$C$9+1),"",IF(AND(30&gt;='节点与说明'!O45,30&lt;='节点与说明'!P45),2,IF(AND(30&gt;='节点与说明'!O45-'节点与说明'!G45,30&lt;'节点与说明'!O45),1,"")))</x:f>
      </x:c>
      <x:c r="AL52" s="13" t="str">
        <x:f>IF(OR('节点与说明'!H45="不适用",31&gt;'时间线'!$C$9+1),"",IF(AND(31&gt;='节点与说明'!O45,31&lt;='节点与说明'!P45),2,IF(AND(31&gt;='节点与说明'!O45-'节点与说明'!G45,31&lt;'节点与说明'!O45),1,"")))</x:f>
      </x:c>
      <x:c r="AM52" s="13" t="str">
        <x:f>IF(OR('节点与说明'!H45="不适用",32&gt;'时间线'!$C$9+1),"",IF(AND(32&gt;='节点与说明'!O45,32&lt;='节点与说明'!P45),2,IF(AND(32&gt;='节点与说明'!O45-'节点与说明'!G45,32&lt;'节点与说明'!O45),1,"")))</x:f>
      </x:c>
      <x:c r="AN52" s="13" t="str">
        <x:f>IF(OR('节点与说明'!H45="不适用",33&gt;'时间线'!$C$9+1),"",IF(AND(33&gt;='节点与说明'!O45,33&lt;='节点与说明'!P45),2,IF(AND(33&gt;='节点与说明'!O45-'节点与说明'!G45,33&lt;'节点与说明'!O45),1,"")))</x:f>
      </x:c>
      <x:c r="AO52" s="13" t="str">
        <x:f>IF(OR('节点与说明'!H45="不适用",34&gt;'时间线'!$C$9+1),"",IF(AND(34&gt;='节点与说明'!O45,34&lt;='节点与说明'!P45),2,IF(AND(34&gt;='节点与说明'!O45-'节点与说明'!G45,34&lt;'节点与说明'!O45),1,"")))</x:f>
      </x:c>
      <x:c r="AP52" s="13" t="str">
        <x:f>IF(OR('节点与说明'!H45="不适用",35&gt;'时间线'!$C$9+1),"",IF(AND(35&gt;='节点与说明'!O45,35&lt;='节点与说明'!P45),2,IF(AND(35&gt;='节点与说明'!O45-'节点与说明'!G45,35&lt;'节点与说明'!O45),1,"")))</x:f>
      </x:c>
      <x:c r="AQ52" s="2"/>
      <x:c r="AR52" s="11" t="str">
        <x:f>'节点与说明'!N45</x:f>
        <x:v>报名和考试分别设提醒；未报名不能只凭考试日期参加。</x:v>
      </x:c>
    </x:row>
    <x:row r="53" ht="38" customHeight="1">
      <x:c r="A53" s="2" t="str">
        <x:f>'节点与说明'!A46</x:f>
        <x:v>D03</x:v>
      </x:c>
      <x:c r="B53" s="21" t="str">
        <x:f>'节点与说明'!B46</x:f>
        <x:v>证书</x:v>
      </x:c>
      <x:c r="C53" s="11" t="str">
        <x:f>'节点与说明'!C46</x:f>
        <x:v>软考等岗位相关资格备考</x:v>
      </x:c>
      <x:c r="D53" s="2" t="str">
        <x:f>'节点与说明'!H46</x:f>
        <x:v>待确认</x:v>
      </x:c>
      <x:c r="E53" s="2" t="n">
        <x:f>'节点与说明'!G46</x:f>
        <x:v>0</x:v>
      </x:c>
      <x:c r="F53" s="2" t="str">
        <x:f>'节点与说明'!S46</x:f>
        <x:v>研1·3月</x:v>
      </x:c>
      <x:c r="G53" s="13" t="str">
        <x:f>IF(OR('节点与说明'!H46="不适用",0&gt;'时间线'!$C$9+1),"",IF(AND(0&gt;='节点与说明'!O46,0&lt;='节点与说明'!P46),2,IF(AND(0&gt;='节点与说明'!O46-'节点与说明'!G46,0&lt;'节点与说明'!O46),1,"")))</x:f>
      </x:c>
      <x:c r="H53" s="13" t="str">
        <x:f>IF(OR('节点与说明'!H46="不适用",1&gt;'时间线'!$C$9+1),"",IF(AND(1&gt;='节点与说明'!O46,1&lt;='节点与说明'!P46),2,IF(AND(1&gt;='节点与说明'!O46-'节点与说明'!G46,1&lt;'节点与说明'!O46),1,"")))</x:f>
      </x:c>
      <x:c r="I53" s="13" t="str">
        <x:f>IF(OR('节点与说明'!H46="不适用",2&gt;'时间线'!$C$9+1),"",IF(AND(2&gt;='节点与说明'!O46,2&lt;='节点与说明'!P46),2,IF(AND(2&gt;='节点与说明'!O46-'节点与说明'!G46,2&lt;'节点与说明'!O46),1,"")))</x:f>
      </x:c>
      <x:c r="J53" s="13" t="str">
        <x:f>IF(OR('节点与说明'!H46="不适用",3&gt;'时间线'!$C$9+1),"",IF(AND(3&gt;='节点与说明'!O46,3&lt;='节点与说明'!P46),2,IF(AND(3&gt;='节点与说明'!O46-'节点与说明'!G46,3&lt;'节点与说明'!O46),1,"")))</x:f>
      </x:c>
      <x:c r="K53" s="13" t="str">
        <x:f>IF(OR('节点与说明'!H46="不适用",4&gt;'时间线'!$C$9+1),"",IF(AND(4&gt;='节点与说明'!O46,4&lt;='节点与说明'!P46),2,IF(AND(4&gt;='节点与说明'!O46-'节点与说明'!G46,4&lt;'节点与说明'!O46),1,"")))</x:f>
      </x:c>
      <x:c r="L53" s="13" t="str">
        <x:f>IF(OR('节点与说明'!H46="不适用",5&gt;'时间线'!$C$9+1),"",IF(AND(5&gt;='节点与说明'!O46,5&lt;='节点与说明'!P46),2,IF(AND(5&gt;='节点与说明'!O46-'节点与说明'!G46,5&lt;'节点与说明'!O46),1,"")))</x:f>
      </x:c>
      <x:c r="M53" s="13" t="n">
        <x:f>IF(OR('节点与说明'!H46="不适用",6&gt;'时间线'!$C$9+1),"",IF(AND(6&gt;='节点与说明'!O46,6&lt;='节点与说明'!P46),2,IF(AND(6&gt;='节点与说明'!O46-'节点与说明'!G46,6&lt;'节点与说明'!O46),1,"")))</x:f>
        <x:v>2</x:v>
      </x:c>
      <x:c r="N53" s="13" t="n">
        <x:f>IF(OR('节点与说明'!H46="不适用",7&gt;'时间线'!$C$9+1),"",IF(AND(7&gt;='节点与说明'!O46,7&lt;='节点与说明'!P46),2,IF(AND(7&gt;='节点与说明'!O46-'节点与说明'!G46,7&lt;'节点与说明'!O46),1,"")))</x:f>
        <x:v>2</x:v>
      </x:c>
      <x:c r="O53" s="13" t="n">
        <x:f>IF(OR('节点与说明'!H46="不适用",8&gt;'时间线'!$C$9+1),"",IF(AND(8&gt;='节点与说明'!O46,8&lt;='节点与说明'!P46),2,IF(AND(8&gt;='节点与说明'!O46-'节点与说明'!G46,8&lt;'节点与说明'!O46),1,"")))</x:f>
        <x:v>2</x:v>
      </x:c>
      <x:c r="P53" s="13" t="n">
        <x:f>IF(OR('节点与说明'!H46="不适用",9&gt;'时间线'!$C$9+1),"",IF(AND(9&gt;='节点与说明'!O46,9&lt;='节点与说明'!P46),2,IF(AND(9&gt;='节点与说明'!O46-'节点与说明'!G46,9&lt;'节点与说明'!O46),1,"")))</x:f>
        <x:v>2</x:v>
      </x:c>
      <x:c r="Q53" s="13" t="str">
        <x:f>IF(OR('节点与说明'!H46="不适用",10&gt;'时间线'!$C$9+1),"",IF(AND(10&gt;='节点与说明'!O46,10&lt;='节点与说明'!P46),2,IF(AND(10&gt;='节点与说明'!O46-'节点与说明'!G46,10&lt;'节点与说明'!O46),1,"")))</x:f>
      </x:c>
      <x:c r="R53" s="13" t="str">
        <x:f>IF(OR('节点与说明'!H46="不适用",11&gt;'时间线'!$C$9+1),"",IF(AND(11&gt;='节点与说明'!O46,11&lt;='节点与说明'!P46),2,IF(AND(11&gt;='节点与说明'!O46-'节点与说明'!G46,11&lt;'节点与说明'!O46),1,"")))</x:f>
      </x:c>
      <x:c r="S53" s="13" t="str">
        <x:f>IF(OR('节点与说明'!H46="不适用",12&gt;'时间线'!$C$9+1),"",IF(AND(12&gt;='节点与说明'!O46,12&lt;='节点与说明'!P46),2,IF(AND(12&gt;='节点与说明'!O46-'节点与说明'!G46,12&lt;'节点与说明'!O46),1,"")))</x:f>
      </x:c>
      <x:c r="T53" s="13" t="str">
        <x:f>IF(OR('节点与说明'!H46="不适用",13&gt;'时间线'!$C$9+1),"",IF(AND(13&gt;='节点与说明'!O46,13&lt;='节点与说明'!P46),2,IF(AND(13&gt;='节点与说明'!O46-'节点与说明'!G46,13&lt;'节点与说明'!O46),1,"")))</x:f>
      </x:c>
      <x:c r="U53" s="13" t="str">
        <x:f>IF(OR('节点与说明'!H46="不适用",14&gt;'时间线'!$C$9+1),"",IF(AND(14&gt;='节点与说明'!O46,14&lt;='节点与说明'!P46),2,IF(AND(14&gt;='节点与说明'!O46-'节点与说明'!G46,14&lt;'节点与说明'!O46),1,"")))</x:f>
      </x:c>
      <x:c r="V53" s="13" t="str">
        <x:f>IF(OR('节点与说明'!H46="不适用",15&gt;'时间线'!$C$9+1),"",IF(AND(15&gt;='节点与说明'!O46,15&lt;='节点与说明'!P46),2,IF(AND(15&gt;='节点与说明'!O46-'节点与说明'!G46,15&lt;'节点与说明'!O46),1,"")))</x:f>
      </x:c>
      <x:c r="W53" s="13" t="str">
        <x:f>IF(OR('节点与说明'!H46="不适用",16&gt;'时间线'!$C$9+1),"",IF(AND(16&gt;='节点与说明'!O46,16&lt;='节点与说明'!P46),2,IF(AND(16&gt;='节点与说明'!O46-'节点与说明'!G46,16&lt;'节点与说明'!O46),1,"")))</x:f>
      </x:c>
      <x:c r="X53" s="13" t="str">
        <x:f>IF(OR('节点与说明'!H46="不适用",17&gt;'时间线'!$C$9+1),"",IF(AND(17&gt;='节点与说明'!O46,17&lt;='节点与说明'!P46),2,IF(AND(17&gt;='节点与说明'!O46-'节点与说明'!G46,17&lt;'节点与说明'!O46),1,"")))</x:f>
      </x:c>
      <x:c r="Y53" s="13" t="str">
        <x:f>IF(OR('节点与说明'!H46="不适用",18&gt;'时间线'!$C$9+1),"",IF(AND(18&gt;='节点与说明'!O46,18&lt;='节点与说明'!P46),2,IF(AND(18&gt;='节点与说明'!O46-'节点与说明'!G46,18&lt;'节点与说明'!O46),1,"")))</x:f>
      </x:c>
      <x:c r="Z53" s="13" t="str">
        <x:f>IF(OR('节点与说明'!H46="不适用",19&gt;'时间线'!$C$9+1),"",IF(AND(19&gt;='节点与说明'!O46,19&lt;='节点与说明'!P46),2,IF(AND(19&gt;='节点与说明'!O46-'节点与说明'!G46,19&lt;'节点与说明'!O46),1,"")))</x:f>
      </x:c>
      <x:c r="AA53" s="13" t="str">
        <x:f>IF(OR('节点与说明'!H46="不适用",20&gt;'时间线'!$C$9+1),"",IF(AND(20&gt;='节点与说明'!O46,20&lt;='节点与说明'!P46),2,IF(AND(20&gt;='节点与说明'!O46-'节点与说明'!G46,20&lt;'节点与说明'!O46),1,"")))</x:f>
      </x:c>
      <x:c r="AB53" s="13" t="str">
        <x:f>IF(OR('节点与说明'!H46="不适用",21&gt;'时间线'!$C$9+1),"",IF(AND(21&gt;='节点与说明'!O46,21&lt;='节点与说明'!P46),2,IF(AND(21&gt;='节点与说明'!O46-'节点与说明'!G46,21&lt;'节点与说明'!O46),1,"")))</x:f>
      </x:c>
      <x:c r="AC53" s="13" t="str">
        <x:f>IF(OR('节点与说明'!H46="不适用",22&gt;'时间线'!$C$9+1),"",IF(AND(22&gt;='节点与说明'!O46,22&lt;='节点与说明'!P46),2,IF(AND(22&gt;='节点与说明'!O46-'节点与说明'!G46,22&lt;'节点与说明'!O46),1,"")))</x:f>
      </x:c>
      <x:c r="AD53" s="13" t="str">
        <x:f>IF(OR('节点与说明'!H46="不适用",23&gt;'时间线'!$C$9+1),"",IF(AND(23&gt;='节点与说明'!O46,23&lt;='节点与说明'!P46),2,IF(AND(23&gt;='节点与说明'!O46-'节点与说明'!G46,23&lt;'节点与说明'!O46),1,"")))</x:f>
      </x:c>
      <x:c r="AE53" s="13" t="str">
        <x:f>IF(OR('节点与说明'!H46="不适用",24&gt;'时间线'!$C$9+1),"",IF(AND(24&gt;='节点与说明'!O46,24&lt;='节点与说明'!P46),2,IF(AND(24&gt;='节点与说明'!O46-'节点与说明'!G46,24&lt;'节点与说明'!O46),1,"")))</x:f>
      </x:c>
      <x:c r="AF53" s="13" t="str">
        <x:f>IF(OR('节点与说明'!H46="不适用",25&gt;'时间线'!$C$9+1),"",IF(AND(25&gt;='节点与说明'!O46,25&lt;='节点与说明'!P46),2,IF(AND(25&gt;='节点与说明'!O46-'节点与说明'!G46,25&lt;'节点与说明'!O46),1,"")))</x:f>
      </x:c>
      <x:c r="AG53" s="13" t="str">
        <x:f>IF(OR('节点与说明'!H46="不适用",26&gt;'时间线'!$C$9+1),"",IF(AND(26&gt;='节点与说明'!O46,26&lt;='节点与说明'!P46),2,IF(AND(26&gt;='节点与说明'!O46-'节点与说明'!G46,26&lt;'节点与说明'!O46),1,"")))</x:f>
      </x:c>
      <x:c r="AH53" s="13" t="str">
        <x:f>IF(OR('节点与说明'!H46="不适用",27&gt;'时间线'!$C$9+1),"",IF(AND(27&gt;='节点与说明'!O46,27&lt;='节点与说明'!P46),2,IF(AND(27&gt;='节点与说明'!O46-'节点与说明'!G46,27&lt;'节点与说明'!O46),1,"")))</x:f>
      </x:c>
      <x:c r="AI53" s="13" t="str">
        <x:f>IF(OR('节点与说明'!H46="不适用",28&gt;'时间线'!$C$9+1),"",IF(AND(28&gt;='节点与说明'!O46,28&lt;='节点与说明'!P46),2,IF(AND(28&gt;='节点与说明'!O46-'节点与说明'!G46,28&lt;'节点与说明'!O46),1,"")))</x:f>
      </x:c>
      <x:c r="AJ53" s="13" t="str">
        <x:f>IF(OR('节点与说明'!H46="不适用",29&gt;'时间线'!$C$9+1),"",IF(AND(29&gt;='节点与说明'!O46,29&lt;='节点与说明'!P46),2,IF(AND(29&gt;='节点与说明'!O46-'节点与说明'!G46,29&lt;'节点与说明'!O46),1,"")))</x:f>
      </x:c>
      <x:c r="AK53" s="13" t="str">
        <x:f>IF(OR('节点与说明'!H46="不适用",30&gt;'时间线'!$C$9+1),"",IF(AND(30&gt;='节点与说明'!O46,30&lt;='节点与说明'!P46),2,IF(AND(30&gt;='节点与说明'!O46-'节点与说明'!G46,30&lt;'节点与说明'!O46),1,"")))</x:f>
      </x:c>
      <x:c r="AL53" s="13" t="str">
        <x:f>IF(OR('节点与说明'!H46="不适用",31&gt;'时间线'!$C$9+1),"",IF(AND(31&gt;='节点与说明'!O46,31&lt;='节点与说明'!P46),2,IF(AND(31&gt;='节点与说明'!O46-'节点与说明'!G46,31&lt;'节点与说明'!O46),1,"")))</x:f>
      </x:c>
      <x:c r="AM53" s="13" t="str">
        <x:f>IF(OR('节点与说明'!H46="不适用",32&gt;'时间线'!$C$9+1),"",IF(AND(32&gt;='节点与说明'!O46,32&lt;='节点与说明'!P46),2,IF(AND(32&gt;='节点与说明'!O46-'节点与说明'!G46,32&lt;'节点与说明'!O46),1,"")))</x:f>
      </x:c>
      <x:c r="AN53" s="13" t="str">
        <x:f>IF(OR('节点与说明'!H46="不适用",33&gt;'时间线'!$C$9+1),"",IF(AND(33&gt;='节点与说明'!O46,33&lt;='节点与说明'!P46),2,IF(AND(33&gt;='节点与说明'!O46-'节点与说明'!G46,33&lt;'节点与说明'!O46),1,"")))</x:f>
      </x:c>
      <x:c r="AO53" s="13" t="str">
        <x:f>IF(OR('节点与说明'!H46="不适用",34&gt;'时间线'!$C$9+1),"",IF(AND(34&gt;='节点与说明'!O46,34&lt;='节点与说明'!P46),2,IF(AND(34&gt;='节点与说明'!O46-'节点与说明'!G46,34&lt;'节点与说明'!O46),1,"")))</x:f>
      </x:c>
      <x:c r="AP53" s="13" t="str">
        <x:f>IF(OR('节点与说明'!H46="不适用",35&gt;'时间线'!$C$9+1),"",IF(AND(35&gt;='节点与说明'!O46,35&lt;='节点与说明'!P46),2,IF(AND(35&gt;='节点与说明'!O46-'节点与说明'!G46,35&lt;'节点与说明'!O46),1,"")))</x:f>
      </x:c>
      <x:c r="AQ53" s="2"/>
      <x:c r="AR53" s="11" t="str">
        <x:f>'节点与说明'!N46</x:f>
        <x:v>预留3–4个月；若撞上开题/中期，应调整考试轮次。</x:v>
      </x:c>
    </x:row>
    <x:row r="54" ht="38" customHeight="1">
      <x:c r="A54" s="2" t="str">
        <x:f>'节点与说明'!A47</x:f>
        <x:v>E01</x:v>
      </x:c>
      <x:c r="B54" s="23" t="str">
        <x:f>'节点与说明'!B47</x:f>
        <x:v>竞赛</x:v>
      </x:c>
      <x:c r="C54" s="11" t="str">
        <x:f>'节点与说明'!C47</x:f>
        <x:v>竞赛选题、组队与导师确认</x:v>
      </x:c>
      <x:c r="D54" s="2" t="str">
        <x:f>'节点与说明'!H47</x:f>
        <x:v>待确认</x:v>
      </x:c>
      <x:c r="E54" s="2" t="n">
        <x:f>'节点与说明'!G47</x:f>
        <x:v>0</x:v>
      </x:c>
      <x:c r="F54" s="2" t="str">
        <x:f>'节点与说明'!S47</x:f>
        <x:v>研1·11月</x:v>
      </x:c>
      <x:c r="G54" s="13" t="str">
        <x:f>IF(OR('节点与说明'!H47="不适用",0&gt;'时间线'!$C$9+1),"",IF(AND(0&gt;='节点与说明'!O47,0&lt;='节点与说明'!P47),2,IF(AND(0&gt;='节点与说明'!O47-'节点与说明'!G47,0&lt;'节点与说明'!O47),1,"")))</x:f>
      </x:c>
      <x:c r="H54" s="13" t="str">
        <x:f>IF(OR('节点与说明'!H47="不适用",1&gt;'时间线'!$C$9+1),"",IF(AND(1&gt;='节点与说明'!O47,1&lt;='节点与说明'!P47),2,IF(AND(1&gt;='节点与说明'!O47-'节点与说明'!G47,1&lt;'节点与说明'!O47),1,"")))</x:f>
      </x:c>
      <x:c r="I54" s="13" t="n">
        <x:f>IF(OR('节点与说明'!H47="不适用",2&gt;'时间线'!$C$9+1),"",IF(AND(2&gt;='节点与说明'!O47,2&lt;='节点与说明'!P47),2,IF(AND(2&gt;='节点与说明'!O47-'节点与说明'!G47,2&lt;'节点与说明'!O47),1,"")))</x:f>
        <x:v>2</x:v>
      </x:c>
      <x:c r="J54" s="13" t="n">
        <x:f>IF(OR('节点与说明'!H47="不适用",3&gt;'时间线'!$C$9+1),"",IF(AND(3&gt;='节点与说明'!O47,3&lt;='节点与说明'!P47),2,IF(AND(3&gt;='节点与说明'!O47-'节点与说明'!G47,3&lt;'节点与说明'!O47),1,"")))</x:f>
        <x:v>2</x:v>
      </x:c>
      <x:c r="K54" s="13" t="n">
        <x:f>IF(OR('节点与说明'!H47="不适用",4&gt;'时间线'!$C$9+1),"",IF(AND(4&gt;='节点与说明'!O47,4&lt;='节点与说明'!P47),2,IF(AND(4&gt;='节点与说明'!O47-'节点与说明'!G47,4&lt;'节点与说明'!O47),1,"")))</x:f>
        <x:v>2</x:v>
      </x:c>
      <x:c r="L54" s="13" t="str">
        <x:f>IF(OR('节点与说明'!H47="不适用",5&gt;'时间线'!$C$9+1),"",IF(AND(5&gt;='节点与说明'!O47,5&lt;='节点与说明'!P47),2,IF(AND(5&gt;='节点与说明'!O47-'节点与说明'!G47,5&lt;'节点与说明'!O47),1,"")))</x:f>
      </x:c>
      <x:c r="M54" s="13" t="str">
        <x:f>IF(OR('节点与说明'!H47="不适用",6&gt;'时间线'!$C$9+1),"",IF(AND(6&gt;='节点与说明'!O47,6&lt;='节点与说明'!P47),2,IF(AND(6&gt;='节点与说明'!O47-'节点与说明'!G47,6&lt;'节点与说明'!O47),1,"")))</x:f>
      </x:c>
      <x:c r="N54" s="13" t="str">
        <x:f>IF(OR('节点与说明'!H47="不适用",7&gt;'时间线'!$C$9+1),"",IF(AND(7&gt;='节点与说明'!O47,7&lt;='节点与说明'!P47),2,IF(AND(7&gt;='节点与说明'!O47-'节点与说明'!G47,7&lt;'节点与说明'!O47),1,"")))</x:f>
      </x:c>
      <x:c r="O54" s="13" t="str">
        <x:f>IF(OR('节点与说明'!H47="不适用",8&gt;'时间线'!$C$9+1),"",IF(AND(8&gt;='节点与说明'!O47,8&lt;='节点与说明'!P47),2,IF(AND(8&gt;='节点与说明'!O47-'节点与说明'!G47,8&lt;'节点与说明'!O47),1,"")))</x:f>
      </x:c>
      <x:c r="P54" s="13" t="str">
        <x:f>IF(OR('节点与说明'!H47="不适用",9&gt;'时间线'!$C$9+1),"",IF(AND(9&gt;='节点与说明'!O47,9&lt;='节点与说明'!P47),2,IF(AND(9&gt;='节点与说明'!O47-'节点与说明'!G47,9&lt;'节点与说明'!O47),1,"")))</x:f>
      </x:c>
      <x:c r="Q54" s="13" t="str">
        <x:f>IF(OR('节点与说明'!H47="不适用",10&gt;'时间线'!$C$9+1),"",IF(AND(10&gt;='节点与说明'!O47,10&lt;='节点与说明'!P47),2,IF(AND(10&gt;='节点与说明'!O47-'节点与说明'!G47,10&lt;'节点与说明'!O47),1,"")))</x:f>
      </x:c>
      <x:c r="R54" s="13" t="str">
        <x:f>IF(OR('节点与说明'!H47="不适用",11&gt;'时间线'!$C$9+1),"",IF(AND(11&gt;='节点与说明'!O47,11&lt;='节点与说明'!P47),2,IF(AND(11&gt;='节点与说明'!O47-'节点与说明'!G47,11&lt;'节点与说明'!O47),1,"")))</x:f>
      </x:c>
      <x:c r="S54" s="13" t="str">
        <x:f>IF(OR('节点与说明'!H47="不适用",12&gt;'时间线'!$C$9+1),"",IF(AND(12&gt;='节点与说明'!O47,12&lt;='节点与说明'!P47),2,IF(AND(12&gt;='节点与说明'!O47-'节点与说明'!G47,12&lt;'节点与说明'!O47),1,"")))</x:f>
      </x:c>
      <x:c r="T54" s="13" t="str">
        <x:f>IF(OR('节点与说明'!H47="不适用",13&gt;'时间线'!$C$9+1),"",IF(AND(13&gt;='节点与说明'!O47,13&lt;='节点与说明'!P47),2,IF(AND(13&gt;='节点与说明'!O47-'节点与说明'!G47,13&lt;'节点与说明'!O47),1,"")))</x:f>
      </x:c>
      <x:c r="U54" s="13" t="str">
        <x:f>IF(OR('节点与说明'!H47="不适用",14&gt;'时间线'!$C$9+1),"",IF(AND(14&gt;='节点与说明'!O47,14&lt;='节点与说明'!P47),2,IF(AND(14&gt;='节点与说明'!O47-'节点与说明'!G47,14&lt;'节点与说明'!O47),1,"")))</x:f>
      </x:c>
      <x:c r="V54" s="13" t="str">
        <x:f>IF(OR('节点与说明'!H47="不适用",15&gt;'时间线'!$C$9+1),"",IF(AND(15&gt;='节点与说明'!O47,15&lt;='节点与说明'!P47),2,IF(AND(15&gt;='节点与说明'!O47-'节点与说明'!G47,15&lt;'节点与说明'!O47),1,"")))</x:f>
      </x:c>
      <x:c r="W54" s="13" t="str">
        <x:f>IF(OR('节点与说明'!H47="不适用",16&gt;'时间线'!$C$9+1),"",IF(AND(16&gt;='节点与说明'!O47,16&lt;='节点与说明'!P47),2,IF(AND(16&gt;='节点与说明'!O47-'节点与说明'!G47,16&lt;'节点与说明'!O47),1,"")))</x:f>
      </x:c>
      <x:c r="X54" s="13" t="str">
        <x:f>IF(OR('节点与说明'!H47="不适用",17&gt;'时间线'!$C$9+1),"",IF(AND(17&gt;='节点与说明'!O47,17&lt;='节点与说明'!P47),2,IF(AND(17&gt;='节点与说明'!O47-'节点与说明'!G47,17&lt;'节点与说明'!O47),1,"")))</x:f>
      </x:c>
      <x:c r="Y54" s="13" t="str">
        <x:f>IF(OR('节点与说明'!H47="不适用",18&gt;'时间线'!$C$9+1),"",IF(AND(18&gt;='节点与说明'!O47,18&lt;='节点与说明'!P47),2,IF(AND(18&gt;='节点与说明'!O47-'节点与说明'!G47,18&lt;'节点与说明'!O47),1,"")))</x:f>
      </x:c>
      <x:c r="Z54" s="13" t="str">
        <x:f>IF(OR('节点与说明'!H47="不适用",19&gt;'时间线'!$C$9+1),"",IF(AND(19&gt;='节点与说明'!O47,19&lt;='节点与说明'!P47),2,IF(AND(19&gt;='节点与说明'!O47-'节点与说明'!G47,19&lt;'节点与说明'!O47),1,"")))</x:f>
      </x:c>
      <x:c r="AA54" s="13" t="str">
        <x:f>IF(OR('节点与说明'!H47="不适用",20&gt;'时间线'!$C$9+1),"",IF(AND(20&gt;='节点与说明'!O47,20&lt;='节点与说明'!P47),2,IF(AND(20&gt;='节点与说明'!O47-'节点与说明'!G47,20&lt;'节点与说明'!O47),1,"")))</x:f>
      </x:c>
      <x:c r="AB54" s="13" t="str">
        <x:f>IF(OR('节点与说明'!H47="不适用",21&gt;'时间线'!$C$9+1),"",IF(AND(21&gt;='节点与说明'!O47,21&lt;='节点与说明'!P47),2,IF(AND(21&gt;='节点与说明'!O47-'节点与说明'!G47,21&lt;'节点与说明'!O47),1,"")))</x:f>
      </x:c>
      <x:c r="AC54" s="13" t="str">
        <x:f>IF(OR('节点与说明'!H47="不适用",22&gt;'时间线'!$C$9+1),"",IF(AND(22&gt;='节点与说明'!O47,22&lt;='节点与说明'!P47),2,IF(AND(22&gt;='节点与说明'!O47-'节点与说明'!G47,22&lt;'节点与说明'!O47),1,"")))</x:f>
      </x:c>
      <x:c r="AD54" s="13" t="str">
        <x:f>IF(OR('节点与说明'!H47="不适用",23&gt;'时间线'!$C$9+1),"",IF(AND(23&gt;='节点与说明'!O47,23&lt;='节点与说明'!P47),2,IF(AND(23&gt;='节点与说明'!O47-'节点与说明'!G47,23&lt;'节点与说明'!O47),1,"")))</x:f>
      </x:c>
      <x:c r="AE54" s="13" t="str">
        <x:f>IF(OR('节点与说明'!H47="不适用",24&gt;'时间线'!$C$9+1),"",IF(AND(24&gt;='节点与说明'!O47,24&lt;='节点与说明'!P47),2,IF(AND(24&gt;='节点与说明'!O47-'节点与说明'!G47,24&lt;'节点与说明'!O47),1,"")))</x:f>
      </x:c>
      <x:c r="AF54" s="13" t="str">
        <x:f>IF(OR('节点与说明'!H47="不适用",25&gt;'时间线'!$C$9+1),"",IF(AND(25&gt;='节点与说明'!O47,25&lt;='节点与说明'!P47),2,IF(AND(25&gt;='节点与说明'!O47-'节点与说明'!G47,25&lt;'节点与说明'!O47),1,"")))</x:f>
      </x:c>
      <x:c r="AG54" s="13" t="str">
        <x:f>IF(OR('节点与说明'!H47="不适用",26&gt;'时间线'!$C$9+1),"",IF(AND(26&gt;='节点与说明'!O47,26&lt;='节点与说明'!P47),2,IF(AND(26&gt;='节点与说明'!O47-'节点与说明'!G47,26&lt;'节点与说明'!O47),1,"")))</x:f>
      </x:c>
      <x:c r="AH54" s="13" t="str">
        <x:f>IF(OR('节点与说明'!H47="不适用",27&gt;'时间线'!$C$9+1),"",IF(AND(27&gt;='节点与说明'!O47,27&lt;='节点与说明'!P47),2,IF(AND(27&gt;='节点与说明'!O47-'节点与说明'!G47,27&lt;'节点与说明'!O47),1,"")))</x:f>
      </x:c>
      <x:c r="AI54" s="13" t="str">
        <x:f>IF(OR('节点与说明'!H47="不适用",28&gt;'时间线'!$C$9+1),"",IF(AND(28&gt;='节点与说明'!O47,28&lt;='节点与说明'!P47),2,IF(AND(28&gt;='节点与说明'!O47-'节点与说明'!G47,28&lt;'节点与说明'!O47),1,"")))</x:f>
      </x:c>
      <x:c r="AJ54" s="13" t="str">
        <x:f>IF(OR('节点与说明'!H47="不适用",29&gt;'时间线'!$C$9+1),"",IF(AND(29&gt;='节点与说明'!O47,29&lt;='节点与说明'!P47),2,IF(AND(29&gt;='节点与说明'!O47-'节点与说明'!G47,29&lt;'节点与说明'!O47),1,"")))</x:f>
      </x:c>
      <x:c r="AK54" s="13" t="str">
        <x:f>IF(OR('节点与说明'!H47="不适用",30&gt;'时间线'!$C$9+1),"",IF(AND(30&gt;='节点与说明'!O47,30&lt;='节点与说明'!P47),2,IF(AND(30&gt;='节点与说明'!O47-'节点与说明'!G47,30&lt;'节点与说明'!O47),1,"")))</x:f>
      </x:c>
      <x:c r="AL54" s="13" t="str">
        <x:f>IF(OR('节点与说明'!H47="不适用",31&gt;'时间线'!$C$9+1),"",IF(AND(31&gt;='节点与说明'!O47,31&lt;='节点与说明'!P47),2,IF(AND(31&gt;='节点与说明'!O47-'节点与说明'!G47,31&lt;'节点与说明'!O47),1,"")))</x:f>
      </x:c>
      <x:c r="AM54" s="13" t="str">
        <x:f>IF(OR('节点与说明'!H47="不适用",32&gt;'时间线'!$C$9+1),"",IF(AND(32&gt;='节点与说明'!O47,32&lt;='节点与说明'!P47),2,IF(AND(32&gt;='节点与说明'!O47-'节点与说明'!G47,32&lt;'节点与说明'!O47),1,"")))</x:f>
      </x:c>
      <x:c r="AN54" s="13" t="str">
        <x:f>IF(OR('节点与说明'!H47="不适用",33&gt;'时间线'!$C$9+1),"",IF(AND(33&gt;='节点与说明'!O47,33&lt;='节点与说明'!P47),2,IF(AND(33&gt;='节点与说明'!O47-'节点与说明'!G47,33&lt;'节点与说明'!O47),1,"")))</x:f>
      </x:c>
      <x:c r="AO54" s="13" t="str">
        <x:f>IF(OR('节点与说明'!H47="不适用",34&gt;'时间线'!$C$9+1),"",IF(AND(34&gt;='节点与说明'!O47,34&lt;='节点与说明'!P47),2,IF(AND(34&gt;='节点与说明'!O47-'节点与说明'!G47,34&lt;'节点与说明'!O47),1,"")))</x:f>
      </x:c>
      <x:c r="AP54" s="13" t="str">
        <x:f>IF(OR('节点与说明'!H47="不适用",35&gt;'时间线'!$C$9+1),"",IF(AND(35&gt;='节点与说明'!O47,35&lt;='节点与说明'!P47),2,IF(AND(35&gt;='节点与说明'!O47-'节点与说明'!G47,35&lt;'节点与说明'!O47),1,"")))</x:f>
      </x:c>
      <x:c r="AQ54" s="2"/>
      <x:c r="AR54" s="11" t="str">
        <x:f>'节点与说明'!N47</x:f>
        <x:v>比赛启动前8–12周形成团队，先看是否需要院赛/校赛选拔。</x:v>
      </x:c>
    </x:row>
    <x:row r="55" ht="38" customHeight="1">
      <x:c r="A55" s="2" t="str">
        <x:f>'节点与说明'!A48</x:f>
        <x:v>E02</x:v>
      </x:c>
      <x:c r="B55" s="23" t="str">
        <x:f>'节点与说明'!B48</x:f>
        <x:v>竞赛</x:v>
      </x:c>
      <x:c r="C55" s="11" t="str">
        <x:f>'节点与说明'!C48</x:f>
        <x:v>创新大赛项目打磨与校赛关注</x:v>
      </x:c>
      <x:c r="D55" s="2" t="str">
        <x:f>'节点与说明'!H48</x:f>
        <x:v>待确认</x:v>
      </x:c>
      <x:c r="E55" s="2" t="n">
        <x:f>'节点与说明'!G48</x:f>
        <x:v>2</x:v>
      </x:c>
      <x:c r="F55" s="2" t="str">
        <x:f>'节点与说明'!S48</x:f>
        <x:v>研1·12月</x:v>
      </x:c>
      <x:c r="G55" s="13" t="str">
        <x:f>IF(OR('节点与说明'!H48="不适用",0&gt;'时间线'!$C$9+1),"",IF(AND(0&gt;='节点与说明'!O48,0&lt;='节点与说明'!P48),2,IF(AND(0&gt;='节点与说明'!O48-'节点与说明'!G48,0&lt;'节点与说明'!O48),1,"")))</x:f>
      </x:c>
      <x:c r="H55" s="13" t="str">
        <x:f>IF(OR('节点与说明'!H48="不适用",1&gt;'时间线'!$C$9+1),"",IF(AND(1&gt;='节点与说明'!O48,1&lt;='节点与说明'!P48),2,IF(AND(1&gt;='节点与说明'!O48-'节点与说明'!G48,1&lt;'节点与说明'!O48),1,"")))</x:f>
      </x:c>
      <x:c r="I55" s="13" t="str">
        <x:f>IF(OR('节点与说明'!H48="不适用",2&gt;'时间线'!$C$9+1),"",IF(AND(2&gt;='节点与说明'!O48,2&lt;='节点与说明'!P48),2,IF(AND(2&gt;='节点与说明'!O48-'节点与说明'!G48,2&lt;'节点与说明'!O48),1,"")))</x:f>
      </x:c>
      <x:c r="J55" s="13" t="n">
        <x:f>IF(OR('节点与说明'!H48="不适用",3&gt;'时间线'!$C$9+1),"",IF(AND(3&gt;='节点与说明'!O48,3&lt;='节点与说明'!P48),2,IF(AND(3&gt;='节点与说明'!O48-'节点与说明'!G48,3&lt;'节点与说明'!O48),1,"")))</x:f>
        <x:v>1</x:v>
      </x:c>
      <x:c r="K55" s="13" t="n">
        <x:f>IF(OR('节点与说明'!H48="不适用",4&gt;'时间线'!$C$9+1),"",IF(AND(4&gt;='节点与说明'!O48,4&lt;='节点与说明'!P48),2,IF(AND(4&gt;='节点与说明'!O48-'节点与说明'!G48,4&lt;'节点与说明'!O48),1,"")))</x:f>
        <x:v>1</x:v>
      </x:c>
      <x:c r="L55" s="13" t="n">
        <x:f>IF(OR('节点与说明'!H48="不适用",5&gt;'时间线'!$C$9+1),"",IF(AND(5&gt;='节点与说明'!O48,5&lt;='节点与说明'!P48),2,IF(AND(5&gt;='节点与说明'!O48-'节点与说明'!G48,5&lt;'节点与说明'!O48),1,"")))</x:f>
        <x:v>2</x:v>
      </x:c>
      <x:c r="M55" s="13" t="n">
        <x:f>IF(OR('节点与说明'!H48="不适用",6&gt;'时间线'!$C$9+1),"",IF(AND(6&gt;='节点与说明'!O48,6&lt;='节点与说明'!P48),2,IF(AND(6&gt;='节点与说明'!O48-'节点与说明'!G48,6&lt;'节点与说明'!O48),1,"")))</x:f>
        <x:v>2</x:v>
      </x:c>
      <x:c r="N55" s="13" t="n">
        <x:f>IF(OR('节点与说明'!H48="不适用",7&gt;'时间线'!$C$9+1),"",IF(AND(7&gt;='节点与说明'!O48,7&lt;='节点与说明'!P48),2,IF(AND(7&gt;='节点与说明'!O48-'节点与说明'!G48,7&lt;'节点与说明'!O48),1,"")))</x:f>
        <x:v>2</x:v>
      </x:c>
      <x:c r="O55" s="13" t="n">
        <x:f>IF(OR('节点与说明'!H48="不适用",8&gt;'时间线'!$C$9+1),"",IF(AND(8&gt;='节点与说明'!O48,8&lt;='节点与说明'!P48),2,IF(AND(8&gt;='节点与说明'!O48-'节点与说明'!G48,8&lt;'节点与说明'!O48),1,"")))</x:f>
        <x:v>2</x:v>
      </x:c>
      <x:c r="P55" s="13" t="n">
        <x:f>IF(OR('节点与说明'!H48="不适用",9&gt;'时间线'!$C$9+1),"",IF(AND(9&gt;='节点与说明'!O48,9&lt;='节点与说明'!P48),2,IF(AND(9&gt;='节点与说明'!O48-'节点与说明'!G48,9&lt;'节点与说明'!O48),1,"")))</x:f>
        <x:v>2</x:v>
      </x:c>
      <x:c r="Q55" s="13" t="n">
        <x:f>IF(OR('节点与说明'!H48="不适用",10&gt;'时间线'!$C$9+1),"",IF(AND(10&gt;='节点与说明'!O48,10&lt;='节点与说明'!P48),2,IF(AND(10&gt;='节点与说明'!O48-'节点与说明'!G48,10&lt;'节点与说明'!O48),1,"")))</x:f>
        <x:v>2</x:v>
      </x:c>
      <x:c r="R55" s="13" t="str">
        <x:f>IF(OR('节点与说明'!H48="不适用",11&gt;'时间线'!$C$9+1),"",IF(AND(11&gt;='节点与说明'!O48,11&lt;='节点与说明'!P48),2,IF(AND(11&gt;='节点与说明'!O48-'节点与说明'!G48,11&lt;'节点与说明'!O48),1,"")))</x:f>
      </x:c>
      <x:c r="S55" s="13" t="str">
        <x:f>IF(OR('节点与说明'!H48="不适用",12&gt;'时间线'!$C$9+1),"",IF(AND(12&gt;='节点与说明'!O48,12&lt;='节点与说明'!P48),2,IF(AND(12&gt;='节点与说明'!O48-'节点与说明'!G48,12&lt;'节点与说明'!O48),1,"")))</x:f>
      </x:c>
      <x:c r="T55" s="13" t="str">
        <x:f>IF(OR('节点与说明'!H48="不适用",13&gt;'时间线'!$C$9+1),"",IF(AND(13&gt;='节点与说明'!O48,13&lt;='节点与说明'!P48),2,IF(AND(13&gt;='节点与说明'!O48-'节点与说明'!G48,13&lt;'节点与说明'!O48),1,"")))</x:f>
      </x:c>
      <x:c r="U55" s="13" t="str">
        <x:f>IF(OR('节点与说明'!H48="不适用",14&gt;'时间线'!$C$9+1),"",IF(AND(14&gt;='节点与说明'!O48,14&lt;='节点与说明'!P48),2,IF(AND(14&gt;='节点与说明'!O48-'节点与说明'!G48,14&lt;'节点与说明'!O48),1,"")))</x:f>
      </x:c>
      <x:c r="V55" s="13" t="str">
        <x:f>IF(OR('节点与说明'!H48="不适用",15&gt;'时间线'!$C$9+1),"",IF(AND(15&gt;='节点与说明'!O48,15&lt;='节点与说明'!P48),2,IF(AND(15&gt;='节点与说明'!O48-'节点与说明'!G48,15&lt;'节点与说明'!O48),1,"")))</x:f>
      </x:c>
      <x:c r="W55" s="13" t="str">
        <x:f>IF(OR('节点与说明'!H48="不适用",16&gt;'时间线'!$C$9+1),"",IF(AND(16&gt;='节点与说明'!O48,16&lt;='节点与说明'!P48),2,IF(AND(16&gt;='节点与说明'!O48-'节点与说明'!G48,16&lt;'节点与说明'!O48),1,"")))</x:f>
      </x:c>
      <x:c r="X55" s="13" t="str">
        <x:f>IF(OR('节点与说明'!H48="不适用",17&gt;'时间线'!$C$9+1),"",IF(AND(17&gt;='节点与说明'!O48,17&lt;='节点与说明'!P48),2,IF(AND(17&gt;='节点与说明'!O48-'节点与说明'!G48,17&lt;'节点与说明'!O48),1,"")))</x:f>
      </x:c>
      <x:c r="Y55" s="13" t="str">
        <x:f>IF(OR('节点与说明'!H48="不适用",18&gt;'时间线'!$C$9+1),"",IF(AND(18&gt;='节点与说明'!O48,18&lt;='节点与说明'!P48),2,IF(AND(18&gt;='节点与说明'!O48-'节点与说明'!G48,18&lt;'节点与说明'!O48),1,"")))</x:f>
      </x:c>
      <x:c r="Z55" s="13" t="str">
        <x:f>IF(OR('节点与说明'!H48="不适用",19&gt;'时间线'!$C$9+1),"",IF(AND(19&gt;='节点与说明'!O48,19&lt;='节点与说明'!P48),2,IF(AND(19&gt;='节点与说明'!O48-'节点与说明'!G48,19&lt;'节点与说明'!O48),1,"")))</x:f>
      </x:c>
      <x:c r="AA55" s="13" t="str">
        <x:f>IF(OR('节点与说明'!H48="不适用",20&gt;'时间线'!$C$9+1),"",IF(AND(20&gt;='节点与说明'!O48,20&lt;='节点与说明'!P48),2,IF(AND(20&gt;='节点与说明'!O48-'节点与说明'!G48,20&lt;'节点与说明'!O48),1,"")))</x:f>
      </x:c>
      <x:c r="AB55" s="13" t="str">
        <x:f>IF(OR('节点与说明'!H48="不适用",21&gt;'时间线'!$C$9+1),"",IF(AND(21&gt;='节点与说明'!O48,21&lt;='节点与说明'!P48),2,IF(AND(21&gt;='节点与说明'!O48-'节点与说明'!G48,21&lt;'节点与说明'!O48),1,"")))</x:f>
      </x:c>
      <x:c r="AC55" s="13" t="str">
        <x:f>IF(OR('节点与说明'!H48="不适用",22&gt;'时间线'!$C$9+1),"",IF(AND(22&gt;='节点与说明'!O48,22&lt;='节点与说明'!P48),2,IF(AND(22&gt;='节点与说明'!O48-'节点与说明'!G48,22&lt;'节点与说明'!O48),1,"")))</x:f>
      </x:c>
      <x:c r="AD55" s="13" t="str">
        <x:f>IF(OR('节点与说明'!H48="不适用",23&gt;'时间线'!$C$9+1),"",IF(AND(23&gt;='节点与说明'!O48,23&lt;='节点与说明'!P48),2,IF(AND(23&gt;='节点与说明'!O48-'节点与说明'!G48,23&lt;'节点与说明'!O48),1,"")))</x:f>
      </x:c>
      <x:c r="AE55" s="13" t="str">
        <x:f>IF(OR('节点与说明'!H48="不适用",24&gt;'时间线'!$C$9+1),"",IF(AND(24&gt;='节点与说明'!O48,24&lt;='节点与说明'!P48),2,IF(AND(24&gt;='节点与说明'!O48-'节点与说明'!G48,24&lt;'节点与说明'!O48),1,"")))</x:f>
      </x:c>
      <x:c r="AF55" s="13" t="str">
        <x:f>IF(OR('节点与说明'!H48="不适用",25&gt;'时间线'!$C$9+1),"",IF(AND(25&gt;='节点与说明'!O48,25&lt;='节点与说明'!P48),2,IF(AND(25&gt;='节点与说明'!O48-'节点与说明'!G48,25&lt;'节点与说明'!O48),1,"")))</x:f>
      </x:c>
      <x:c r="AG55" s="13" t="str">
        <x:f>IF(OR('节点与说明'!H48="不适用",26&gt;'时间线'!$C$9+1),"",IF(AND(26&gt;='节点与说明'!O48,26&lt;='节点与说明'!P48),2,IF(AND(26&gt;='节点与说明'!O48-'节点与说明'!G48,26&lt;'节点与说明'!O48),1,"")))</x:f>
      </x:c>
      <x:c r="AH55" s="13" t="str">
        <x:f>IF(OR('节点与说明'!H48="不适用",27&gt;'时间线'!$C$9+1),"",IF(AND(27&gt;='节点与说明'!O48,27&lt;='节点与说明'!P48),2,IF(AND(27&gt;='节点与说明'!O48-'节点与说明'!G48,27&lt;'节点与说明'!O48),1,"")))</x:f>
      </x:c>
      <x:c r="AI55" s="13" t="str">
        <x:f>IF(OR('节点与说明'!H48="不适用",28&gt;'时间线'!$C$9+1),"",IF(AND(28&gt;='节点与说明'!O48,28&lt;='节点与说明'!P48),2,IF(AND(28&gt;='节点与说明'!O48-'节点与说明'!G48,28&lt;'节点与说明'!O48),1,"")))</x:f>
      </x:c>
      <x:c r="AJ55" s="13" t="str">
        <x:f>IF(OR('节点与说明'!H48="不适用",29&gt;'时间线'!$C$9+1),"",IF(AND(29&gt;='节点与说明'!O48,29&lt;='节点与说明'!P48),2,IF(AND(29&gt;='节点与说明'!O48-'节点与说明'!G48,29&lt;'节点与说明'!O48),1,"")))</x:f>
      </x:c>
      <x:c r="AK55" s="13" t="str">
        <x:f>IF(OR('节点与说明'!H48="不适用",30&gt;'时间线'!$C$9+1),"",IF(AND(30&gt;='节点与说明'!O48,30&lt;='节点与说明'!P48),2,IF(AND(30&gt;='节点与说明'!O48-'节点与说明'!G48,30&lt;'节点与说明'!O48),1,"")))</x:f>
      </x:c>
      <x:c r="AL55" s="13" t="str">
        <x:f>IF(OR('节点与说明'!H48="不适用",31&gt;'时间线'!$C$9+1),"",IF(AND(31&gt;='节点与说明'!O48,31&lt;='节点与说明'!P48),2,IF(AND(31&gt;='节点与说明'!O48-'节点与说明'!G48,31&lt;'节点与说明'!O48),1,"")))</x:f>
      </x:c>
      <x:c r="AM55" s="13" t="str">
        <x:f>IF(OR('节点与说明'!H48="不适用",32&gt;'时间线'!$C$9+1),"",IF(AND(32&gt;='节点与说明'!O48,32&lt;='节点与说明'!P48),2,IF(AND(32&gt;='节点与说明'!O48-'节点与说明'!G48,32&lt;'节点与说明'!O48),1,"")))</x:f>
      </x:c>
      <x:c r="AN55" s="13" t="str">
        <x:f>IF(OR('节点与说明'!H48="不适用",33&gt;'时间线'!$C$9+1),"",IF(AND(33&gt;='节点与说明'!O48,33&lt;='节点与说明'!P48),2,IF(AND(33&gt;='节点与说明'!O48-'节点与说明'!G48,33&lt;'节点与说明'!O48),1,"")))</x:f>
      </x:c>
      <x:c r="AO55" s="13" t="str">
        <x:f>IF(OR('节点与说明'!H48="不适用",34&gt;'时间线'!$C$9+1),"",IF(AND(34&gt;='节点与说明'!O48,34&lt;='节点与说明'!P48),2,IF(AND(34&gt;='节点与说明'!O48-'节点与说明'!G48,34&lt;'节点与说明'!O48),1,"")))</x:f>
      </x:c>
      <x:c r="AP55" s="13" t="str">
        <x:f>IF(OR('节点与说明'!H48="不适用",35&gt;'时间线'!$C$9+1),"",IF(AND(35&gt;='节点与说明'!O48,35&lt;='节点与说明'!P48),2,IF(AND(35&gt;='节点与说明'!O48-'节点与说明'!G48,35&lt;'节点与说明'!O48),1,"")))</x:f>
      </x:c>
      <x:c r="AQ55" s="2"/>
      <x:c r="AR55" s="11" t="str">
        <x:f>'节点与说明'!N48</x:f>
        <x:v>提前3个月形成可验证成果；全国截止前至少再查学院/学校内部截止。</x:v>
      </x:c>
    </x:row>
    <x:row r="56" ht="38" customHeight="1">
      <x:c r="A56" s="2" t="str">
        <x:f>'节点与说明'!A49</x:f>
        <x:v>E03</x:v>
      </x:c>
      <x:c r="B56" s="23" t="str">
        <x:f>'节点与说明'!B49</x:f>
        <x:v>竞赛</x:v>
      </x:c>
      <x:c r="C56" s="11" t="str">
        <x:f>'节点与说明'!C49</x:f>
        <x:v>挑战杯调研与作品积累</x:v>
      </x:c>
      <x:c r="D56" s="2" t="str">
        <x:f>'节点与说明'!H49</x:f>
        <x:v>待确认</x:v>
      </x:c>
      <x:c r="E56" s="2" t="n">
        <x:f>'节点与说明'!G49</x:f>
        <x:v>2</x:v>
      </x:c>
      <x:c r="F56" s="2" t="str">
        <x:f>'节点与说明'!S49</x:f>
        <x:v>研1·12月</x:v>
      </x:c>
      <x:c r="G56" s="13" t="str">
        <x:f>IF(OR('节点与说明'!H49="不适用",0&gt;'时间线'!$C$9+1),"",IF(AND(0&gt;='节点与说明'!O49,0&lt;='节点与说明'!P49),2,IF(AND(0&gt;='节点与说明'!O49-'节点与说明'!G49,0&lt;'节点与说明'!O49),1,"")))</x:f>
      </x:c>
      <x:c r="H56" s="13" t="str">
        <x:f>IF(OR('节点与说明'!H49="不适用",1&gt;'时间线'!$C$9+1),"",IF(AND(1&gt;='节点与说明'!O49,1&lt;='节点与说明'!P49),2,IF(AND(1&gt;='节点与说明'!O49-'节点与说明'!G49,1&lt;'节点与说明'!O49),1,"")))</x:f>
      </x:c>
      <x:c r="I56" s="13" t="str">
        <x:f>IF(OR('节点与说明'!H49="不适用",2&gt;'时间线'!$C$9+1),"",IF(AND(2&gt;='节点与说明'!O49,2&lt;='节点与说明'!P49),2,IF(AND(2&gt;='节点与说明'!O49-'节点与说明'!G49,2&lt;'节点与说明'!O49),1,"")))</x:f>
      </x:c>
      <x:c r="J56" s="13" t="n">
        <x:f>IF(OR('节点与说明'!H49="不适用",3&gt;'时间线'!$C$9+1),"",IF(AND(3&gt;='节点与说明'!O49,3&lt;='节点与说明'!P49),2,IF(AND(3&gt;='节点与说明'!O49-'节点与说明'!G49,3&lt;'节点与说明'!O49),1,"")))</x:f>
        <x:v>1</x:v>
      </x:c>
      <x:c r="K56" s="13" t="n">
        <x:f>IF(OR('节点与说明'!H49="不适用",4&gt;'时间线'!$C$9+1),"",IF(AND(4&gt;='节点与说明'!O49,4&lt;='节点与说明'!P49),2,IF(AND(4&gt;='节点与说明'!O49-'节点与说明'!G49,4&lt;'节点与说明'!O49),1,"")))</x:f>
        <x:v>1</x:v>
      </x:c>
      <x:c r="L56" s="13" t="n">
        <x:f>IF(OR('节点与说明'!H49="不适用",5&gt;'时间线'!$C$9+1),"",IF(AND(5&gt;='节点与说明'!O49,5&lt;='节点与说明'!P49),2,IF(AND(5&gt;='节点与说明'!O49-'节点与说明'!G49,5&lt;'节点与说明'!O49),1,"")))</x:f>
        <x:v>2</x:v>
      </x:c>
      <x:c r="M56" s="13" t="n">
        <x:f>IF(OR('节点与说明'!H49="不适用",6&gt;'时间线'!$C$9+1),"",IF(AND(6&gt;='节点与说明'!O49,6&lt;='节点与说明'!P49),2,IF(AND(6&gt;='节点与说明'!O49-'节点与说明'!G49,6&lt;'节点与说明'!O49),1,"")))</x:f>
        <x:v>2</x:v>
      </x:c>
      <x:c r="N56" s="13" t="n">
        <x:f>IF(OR('节点与说明'!H49="不适用",7&gt;'时间线'!$C$9+1),"",IF(AND(7&gt;='节点与说明'!O49,7&lt;='节点与说明'!P49),2,IF(AND(7&gt;='节点与说明'!O49-'节点与说明'!G49,7&lt;'节点与说明'!O49),1,"")))</x:f>
        <x:v>2</x:v>
      </x:c>
      <x:c r="O56" s="13" t="n">
        <x:f>IF(OR('节点与说明'!H49="不适用",8&gt;'时间线'!$C$9+1),"",IF(AND(8&gt;='节点与说明'!O49,8&lt;='节点与说明'!P49),2,IF(AND(8&gt;='节点与说明'!O49-'节点与说明'!G49,8&lt;'节点与说明'!O49),1,"")))</x:f>
        <x:v>2</x:v>
      </x:c>
      <x:c r="P56" s="13" t="n">
        <x:f>IF(OR('节点与说明'!H49="不适用",9&gt;'时间线'!$C$9+1),"",IF(AND(9&gt;='节点与说明'!O49,9&lt;='节点与说明'!P49),2,IF(AND(9&gt;='节点与说明'!O49-'节点与说明'!G49,9&lt;'节点与说明'!O49),1,"")))</x:f>
        <x:v>2</x:v>
      </x:c>
      <x:c r="Q56" s="13" t="n">
        <x:f>IF(OR('节点与说明'!H49="不适用",10&gt;'时间线'!$C$9+1),"",IF(AND(10&gt;='节点与说明'!O49,10&lt;='节点与说明'!P49),2,IF(AND(10&gt;='节点与说明'!O49-'节点与说明'!G49,10&lt;'节点与说明'!O49),1,"")))</x:f>
        <x:v>2</x:v>
      </x:c>
      <x:c r="R56" s="13" t="n">
        <x:f>IF(OR('节点与说明'!H49="不适用",11&gt;'时间线'!$C$9+1),"",IF(AND(11&gt;='节点与说明'!O49,11&lt;='节点与说明'!P49),2,IF(AND(11&gt;='节点与说明'!O49-'节点与说明'!G49,11&lt;'节点与说明'!O49),1,"")))</x:f>
        <x:v>2</x:v>
      </x:c>
      <x:c r="S56" s="13" t="n">
        <x:f>IF(OR('节点与说明'!H49="不适用",12&gt;'时间线'!$C$9+1),"",IF(AND(12&gt;='节点与说明'!O49,12&lt;='节点与说明'!P49),2,IF(AND(12&gt;='节点与说明'!O49-'节点与说明'!G49,12&lt;'节点与说明'!O49),1,"")))</x:f>
        <x:v>2</x:v>
      </x:c>
      <x:c r="T56" s="13" t="n">
        <x:f>IF(OR('节点与说明'!H49="不适用",13&gt;'时间线'!$C$9+1),"",IF(AND(13&gt;='节点与说明'!O49,13&lt;='节点与说明'!P49),2,IF(AND(13&gt;='节点与说明'!O49-'节点与说明'!G49,13&lt;'节点与说明'!O49),1,"")))</x:f>
        <x:v>2</x:v>
      </x:c>
      <x:c r="U56" s="13" t="n">
        <x:f>IF(OR('节点与说明'!H49="不适用",14&gt;'时间线'!$C$9+1),"",IF(AND(14&gt;='节点与说明'!O49,14&lt;='节点与说明'!P49),2,IF(AND(14&gt;='节点与说明'!O49-'节点与说明'!G49,14&lt;'节点与说明'!O49),1,"")))</x:f>
        <x:v>2</x:v>
      </x:c>
      <x:c r="V56" s="13" t="str">
        <x:f>IF(OR('节点与说明'!H49="不适用",15&gt;'时间线'!$C$9+1),"",IF(AND(15&gt;='节点与说明'!O49,15&lt;='节点与说明'!P49),2,IF(AND(15&gt;='节点与说明'!O49-'节点与说明'!G49,15&lt;'节点与说明'!O49),1,"")))</x:f>
      </x:c>
      <x:c r="W56" s="13" t="str">
        <x:f>IF(OR('节点与说明'!H49="不适用",16&gt;'时间线'!$C$9+1),"",IF(AND(16&gt;='节点与说明'!O49,16&lt;='节点与说明'!P49),2,IF(AND(16&gt;='节点与说明'!O49-'节点与说明'!G49,16&lt;'节点与说明'!O49),1,"")))</x:f>
      </x:c>
      <x:c r="X56" s="13" t="str">
        <x:f>IF(OR('节点与说明'!H49="不适用",17&gt;'时间线'!$C$9+1),"",IF(AND(17&gt;='节点与说明'!O49,17&lt;='节点与说明'!P49),2,IF(AND(17&gt;='节点与说明'!O49-'节点与说明'!G49,17&lt;'节点与说明'!O49),1,"")))</x:f>
      </x:c>
      <x:c r="Y56" s="13" t="str">
        <x:f>IF(OR('节点与说明'!H49="不适用",18&gt;'时间线'!$C$9+1),"",IF(AND(18&gt;='节点与说明'!O49,18&lt;='节点与说明'!P49),2,IF(AND(18&gt;='节点与说明'!O49-'节点与说明'!G49,18&lt;'节点与说明'!O49),1,"")))</x:f>
      </x:c>
      <x:c r="Z56" s="13" t="str">
        <x:f>IF(OR('节点与说明'!H49="不适用",19&gt;'时间线'!$C$9+1),"",IF(AND(19&gt;='节点与说明'!O49,19&lt;='节点与说明'!P49),2,IF(AND(19&gt;='节点与说明'!O49-'节点与说明'!G49,19&lt;'节点与说明'!O49),1,"")))</x:f>
      </x:c>
      <x:c r="AA56" s="13" t="str">
        <x:f>IF(OR('节点与说明'!H49="不适用",20&gt;'时间线'!$C$9+1),"",IF(AND(20&gt;='节点与说明'!O49,20&lt;='节点与说明'!P49),2,IF(AND(20&gt;='节点与说明'!O49-'节点与说明'!G49,20&lt;'节点与说明'!O49),1,"")))</x:f>
      </x:c>
      <x:c r="AB56" s="13" t="str">
        <x:f>IF(OR('节点与说明'!H49="不适用",21&gt;'时间线'!$C$9+1),"",IF(AND(21&gt;='节点与说明'!O49,21&lt;='节点与说明'!P49),2,IF(AND(21&gt;='节点与说明'!O49-'节点与说明'!G49,21&lt;'节点与说明'!O49),1,"")))</x:f>
      </x:c>
      <x:c r="AC56" s="13" t="str">
        <x:f>IF(OR('节点与说明'!H49="不适用",22&gt;'时间线'!$C$9+1),"",IF(AND(22&gt;='节点与说明'!O49,22&lt;='节点与说明'!P49),2,IF(AND(22&gt;='节点与说明'!O49-'节点与说明'!G49,22&lt;'节点与说明'!O49),1,"")))</x:f>
      </x:c>
      <x:c r="AD56" s="13" t="str">
        <x:f>IF(OR('节点与说明'!H49="不适用",23&gt;'时间线'!$C$9+1),"",IF(AND(23&gt;='节点与说明'!O49,23&lt;='节点与说明'!P49),2,IF(AND(23&gt;='节点与说明'!O49-'节点与说明'!G49,23&lt;'节点与说明'!O49),1,"")))</x:f>
      </x:c>
      <x:c r="AE56" s="13" t="str">
        <x:f>IF(OR('节点与说明'!H49="不适用",24&gt;'时间线'!$C$9+1),"",IF(AND(24&gt;='节点与说明'!O49,24&lt;='节点与说明'!P49),2,IF(AND(24&gt;='节点与说明'!O49-'节点与说明'!G49,24&lt;'节点与说明'!O49),1,"")))</x:f>
      </x:c>
      <x:c r="AF56" s="13" t="str">
        <x:f>IF(OR('节点与说明'!H49="不适用",25&gt;'时间线'!$C$9+1),"",IF(AND(25&gt;='节点与说明'!O49,25&lt;='节点与说明'!P49),2,IF(AND(25&gt;='节点与说明'!O49-'节点与说明'!G49,25&lt;'节点与说明'!O49),1,"")))</x:f>
      </x:c>
      <x:c r="AG56" s="13" t="str">
        <x:f>IF(OR('节点与说明'!H49="不适用",26&gt;'时间线'!$C$9+1),"",IF(AND(26&gt;='节点与说明'!O49,26&lt;='节点与说明'!P49),2,IF(AND(26&gt;='节点与说明'!O49-'节点与说明'!G49,26&lt;'节点与说明'!O49),1,"")))</x:f>
      </x:c>
      <x:c r="AH56" s="13" t="str">
        <x:f>IF(OR('节点与说明'!H49="不适用",27&gt;'时间线'!$C$9+1),"",IF(AND(27&gt;='节点与说明'!O49,27&lt;='节点与说明'!P49),2,IF(AND(27&gt;='节点与说明'!O49-'节点与说明'!G49,27&lt;'节点与说明'!O49),1,"")))</x:f>
      </x:c>
      <x:c r="AI56" s="13" t="str">
        <x:f>IF(OR('节点与说明'!H49="不适用",28&gt;'时间线'!$C$9+1),"",IF(AND(28&gt;='节点与说明'!O49,28&lt;='节点与说明'!P49),2,IF(AND(28&gt;='节点与说明'!O49-'节点与说明'!G49,28&lt;'节点与说明'!O49),1,"")))</x:f>
      </x:c>
      <x:c r="AJ56" s="13" t="str">
        <x:f>IF(OR('节点与说明'!H49="不适用",29&gt;'时间线'!$C$9+1),"",IF(AND(29&gt;='节点与说明'!O49,29&lt;='节点与说明'!P49),2,IF(AND(29&gt;='节点与说明'!O49-'节点与说明'!G49,29&lt;'节点与说明'!O49),1,"")))</x:f>
      </x:c>
      <x:c r="AK56" s="13" t="str">
        <x:f>IF(OR('节点与说明'!H49="不适用",30&gt;'时间线'!$C$9+1),"",IF(AND(30&gt;='节点与说明'!O49,30&lt;='节点与说明'!P49),2,IF(AND(30&gt;='节点与说明'!O49-'节点与说明'!G49,30&lt;'节点与说明'!O49),1,"")))</x:f>
      </x:c>
      <x:c r="AL56" s="13" t="str">
        <x:f>IF(OR('节点与说明'!H49="不适用",31&gt;'时间线'!$C$9+1),"",IF(AND(31&gt;='节点与说明'!O49,31&lt;='节点与说明'!P49),2,IF(AND(31&gt;='节点与说明'!O49-'节点与说明'!G49,31&lt;'节点与说明'!O49),1,"")))</x:f>
      </x:c>
      <x:c r="AM56" s="13" t="str">
        <x:f>IF(OR('节点与说明'!H49="不适用",32&gt;'时间线'!$C$9+1),"",IF(AND(32&gt;='节点与说明'!O49,32&lt;='节点与说明'!P49),2,IF(AND(32&gt;='节点与说明'!O49-'节点与说明'!G49,32&lt;'节点与说明'!O49),1,"")))</x:f>
      </x:c>
      <x:c r="AN56" s="13" t="str">
        <x:f>IF(OR('节点与说明'!H49="不适用",33&gt;'时间线'!$C$9+1),"",IF(AND(33&gt;='节点与说明'!O49,33&lt;='节点与说明'!P49),2,IF(AND(33&gt;='节点与说明'!O49-'节点与说明'!G49,33&lt;'节点与说明'!O49),1,"")))</x:f>
      </x:c>
      <x:c r="AO56" s="13" t="str">
        <x:f>IF(OR('节点与说明'!H49="不适用",34&gt;'时间线'!$C$9+1),"",IF(AND(34&gt;='节点与说明'!O49,34&lt;='节点与说明'!P49),2,IF(AND(34&gt;='节点与说明'!O49-'节点与说明'!G49,34&lt;'节点与说明'!O49),1,"")))</x:f>
      </x:c>
      <x:c r="AP56" s="13" t="str">
        <x:f>IF(OR('节点与说明'!H49="不适用",35&gt;'时间线'!$C$9+1),"",IF(AND(35&gt;='节点与说明'!O49,35&lt;='节点与说明'!P49),2,IF(AND(35&gt;='节点与说明'!O49-'节点与说明'!G49,35&lt;'节点与说明'!O49),1,"")))</x:f>
      </x:c>
      <x:c r="AQ56" s="2"/>
      <x:c r="AR56" s="11" t="str">
        <x:f>'节点与说明'!N49</x:f>
        <x:v>提前一学期积累证据，切勿等省赛通知才临时组队。</x:v>
      </x:c>
    </x:row>
    <x:row r="57" ht="38" customHeight="1">
      <x:c r="A57" s="2" t="str">
        <x:f>'节点与说明'!A50</x:f>
        <x:v>E04</x:v>
      </x:c>
      <x:c r="B57" s="23" t="str">
        <x:f>'节点与说明'!B50</x:f>
        <x:v>竞赛</x:v>
      </x:c>
      <x:c r="C57" s="11" t="str">
        <x:f>'节点与说明'!C50</x:f>
        <x:v>研究生创新实践赛专项训练</x:v>
      </x:c>
      <x:c r="D57" s="2" t="str">
        <x:f>'节点与说明'!H50</x:f>
        <x:v>待确认</x:v>
      </x:c>
      <x:c r="E57" s="2" t="n">
        <x:f>'节点与说明'!G50</x:f>
        <x:v>1</x:v>
      </x:c>
      <x:c r="F57" s="2" t="str">
        <x:f>'节点与说明'!S50</x:f>
        <x:v>研1·2月</x:v>
      </x:c>
      <x:c r="G57" s="13" t="str">
        <x:f>IF(OR('节点与说明'!H50="不适用",0&gt;'时间线'!$C$9+1),"",IF(AND(0&gt;='节点与说明'!O50,0&lt;='节点与说明'!P50),2,IF(AND(0&gt;='节点与说明'!O50-'节点与说明'!G50,0&lt;'节点与说明'!O50),1,"")))</x:f>
      </x:c>
      <x:c r="H57" s="13" t="str">
        <x:f>IF(OR('节点与说明'!H50="不适用",1&gt;'时间线'!$C$9+1),"",IF(AND(1&gt;='节点与说明'!O50,1&lt;='节点与说明'!P50),2,IF(AND(1&gt;='节点与说明'!O50-'节点与说明'!G50,1&lt;'节点与说明'!O50),1,"")))</x:f>
      </x:c>
      <x:c r="I57" s="13" t="str">
        <x:f>IF(OR('节点与说明'!H50="不适用",2&gt;'时间线'!$C$9+1),"",IF(AND(2&gt;='节点与说明'!O50,2&lt;='节点与说明'!P50),2,IF(AND(2&gt;='节点与说明'!O50-'节点与说明'!G50,2&lt;'节点与说明'!O50),1,"")))</x:f>
      </x:c>
      <x:c r="J57" s="13" t="str">
        <x:f>IF(OR('节点与说明'!H50="不适用",3&gt;'时间线'!$C$9+1),"",IF(AND(3&gt;='节点与说明'!O50,3&lt;='节点与说明'!P50),2,IF(AND(3&gt;='节点与说明'!O50-'节点与说明'!G50,3&lt;'节点与说明'!O50),1,"")))</x:f>
      </x:c>
      <x:c r="K57" s="13" t="str">
        <x:f>IF(OR('节点与说明'!H50="不适用",4&gt;'时间线'!$C$9+1),"",IF(AND(4&gt;='节点与说明'!O50,4&lt;='节点与说明'!P50),2,IF(AND(4&gt;='节点与说明'!O50-'节点与说明'!G50,4&lt;'节点与说明'!O50),1,"")))</x:f>
      </x:c>
      <x:c r="L57" s="13" t="n">
        <x:f>IF(OR('节点与说明'!H50="不适用",5&gt;'时间线'!$C$9+1),"",IF(AND(5&gt;='节点与说明'!O50,5&lt;='节点与说明'!P50),2,IF(AND(5&gt;='节点与说明'!O50-'节点与说明'!G50,5&lt;'节点与说明'!O50),1,"")))</x:f>
        <x:v>1</x:v>
      </x:c>
      <x:c r="M57" s="13" t="n">
        <x:f>IF(OR('节点与说明'!H50="不适用",6&gt;'时间线'!$C$9+1),"",IF(AND(6&gt;='节点与说明'!O50,6&lt;='节点与说明'!P50),2,IF(AND(6&gt;='节点与说明'!O50-'节点与说明'!G50,6&lt;'节点与说明'!O50),1,"")))</x:f>
        <x:v>2</x:v>
      </x:c>
      <x:c r="N57" s="13" t="n">
        <x:f>IF(OR('节点与说明'!H50="不适用",7&gt;'时间线'!$C$9+1),"",IF(AND(7&gt;='节点与说明'!O50,7&lt;='节点与说明'!P50),2,IF(AND(7&gt;='节点与说明'!O50-'节点与说明'!G50,7&lt;'节点与说明'!O50),1,"")))</x:f>
        <x:v>2</x:v>
      </x:c>
      <x:c r="O57" s="13" t="n">
        <x:f>IF(OR('节点与说明'!H50="不适用",8&gt;'时间线'!$C$9+1),"",IF(AND(8&gt;='节点与说明'!O50,8&lt;='节点与说明'!P50),2,IF(AND(8&gt;='节点与说明'!O50-'节点与说明'!G50,8&lt;'节点与说明'!O50),1,"")))</x:f>
        <x:v>2</x:v>
      </x:c>
      <x:c r="P57" s="13" t="n">
        <x:f>IF(OR('节点与说明'!H50="不适用",9&gt;'时间线'!$C$9+1),"",IF(AND(9&gt;='节点与说明'!O50,9&lt;='节点与说明'!P50),2,IF(AND(9&gt;='节点与说明'!O50-'节点与说明'!G50,9&lt;'节点与说明'!O50),1,"")))</x:f>
        <x:v>2</x:v>
      </x:c>
      <x:c r="Q57" s="13" t="n">
        <x:f>IF(OR('节点与说明'!H50="不适用",10&gt;'时间线'!$C$9+1),"",IF(AND(10&gt;='节点与说明'!O50,10&lt;='节点与说明'!P50),2,IF(AND(10&gt;='节点与说明'!O50-'节点与说明'!G50,10&lt;'节点与说明'!O50),1,"")))</x:f>
        <x:v>2</x:v>
      </x:c>
      <x:c r="R57" s="13" t="str">
        <x:f>IF(OR('节点与说明'!H50="不适用",11&gt;'时间线'!$C$9+1),"",IF(AND(11&gt;='节点与说明'!O50,11&lt;='节点与说明'!P50),2,IF(AND(11&gt;='节点与说明'!O50-'节点与说明'!G50,11&lt;'节点与说明'!O50),1,"")))</x:f>
      </x:c>
      <x:c r="S57" s="13" t="str">
        <x:f>IF(OR('节点与说明'!H50="不适用",12&gt;'时间线'!$C$9+1),"",IF(AND(12&gt;='节点与说明'!O50,12&lt;='节点与说明'!P50),2,IF(AND(12&gt;='节点与说明'!O50-'节点与说明'!G50,12&lt;'节点与说明'!O50),1,"")))</x:f>
      </x:c>
      <x:c r="T57" s="13" t="str">
        <x:f>IF(OR('节点与说明'!H50="不适用",13&gt;'时间线'!$C$9+1),"",IF(AND(13&gt;='节点与说明'!O50,13&lt;='节点与说明'!P50),2,IF(AND(13&gt;='节点与说明'!O50-'节点与说明'!G50,13&lt;'节点与说明'!O50),1,"")))</x:f>
      </x:c>
      <x:c r="U57" s="13" t="str">
        <x:f>IF(OR('节点与说明'!H50="不适用",14&gt;'时间线'!$C$9+1),"",IF(AND(14&gt;='节点与说明'!O50,14&lt;='节点与说明'!P50),2,IF(AND(14&gt;='节点与说明'!O50-'节点与说明'!G50,14&lt;'节点与说明'!O50),1,"")))</x:f>
      </x:c>
      <x:c r="V57" s="13" t="str">
        <x:f>IF(OR('节点与说明'!H50="不适用",15&gt;'时间线'!$C$9+1),"",IF(AND(15&gt;='节点与说明'!O50,15&lt;='节点与说明'!P50),2,IF(AND(15&gt;='节点与说明'!O50-'节点与说明'!G50,15&lt;'节点与说明'!O50),1,"")))</x:f>
      </x:c>
      <x:c r="W57" s="13" t="str">
        <x:f>IF(OR('节点与说明'!H50="不适用",16&gt;'时间线'!$C$9+1),"",IF(AND(16&gt;='节点与说明'!O50,16&lt;='节点与说明'!P50),2,IF(AND(16&gt;='节点与说明'!O50-'节点与说明'!G50,16&lt;'节点与说明'!O50),1,"")))</x:f>
      </x:c>
      <x:c r="X57" s="13" t="str">
        <x:f>IF(OR('节点与说明'!H50="不适用",17&gt;'时间线'!$C$9+1),"",IF(AND(17&gt;='节点与说明'!O50,17&lt;='节点与说明'!P50),2,IF(AND(17&gt;='节点与说明'!O50-'节点与说明'!G50,17&lt;'节点与说明'!O50),1,"")))</x:f>
      </x:c>
      <x:c r="Y57" s="13" t="str">
        <x:f>IF(OR('节点与说明'!H50="不适用",18&gt;'时间线'!$C$9+1),"",IF(AND(18&gt;='节点与说明'!O50,18&lt;='节点与说明'!P50),2,IF(AND(18&gt;='节点与说明'!O50-'节点与说明'!G50,18&lt;'节点与说明'!O50),1,"")))</x:f>
      </x:c>
      <x:c r="Z57" s="13" t="str">
        <x:f>IF(OR('节点与说明'!H50="不适用",19&gt;'时间线'!$C$9+1),"",IF(AND(19&gt;='节点与说明'!O50,19&lt;='节点与说明'!P50),2,IF(AND(19&gt;='节点与说明'!O50-'节点与说明'!G50,19&lt;'节点与说明'!O50),1,"")))</x:f>
      </x:c>
      <x:c r="AA57" s="13" t="str">
        <x:f>IF(OR('节点与说明'!H50="不适用",20&gt;'时间线'!$C$9+1),"",IF(AND(20&gt;='节点与说明'!O50,20&lt;='节点与说明'!P50),2,IF(AND(20&gt;='节点与说明'!O50-'节点与说明'!G50,20&lt;'节点与说明'!O50),1,"")))</x:f>
      </x:c>
      <x:c r="AB57" s="13" t="str">
        <x:f>IF(OR('节点与说明'!H50="不适用",21&gt;'时间线'!$C$9+1),"",IF(AND(21&gt;='节点与说明'!O50,21&lt;='节点与说明'!P50),2,IF(AND(21&gt;='节点与说明'!O50-'节点与说明'!G50,21&lt;'节点与说明'!O50),1,"")))</x:f>
      </x:c>
      <x:c r="AC57" s="13" t="str">
        <x:f>IF(OR('节点与说明'!H50="不适用",22&gt;'时间线'!$C$9+1),"",IF(AND(22&gt;='节点与说明'!O50,22&lt;='节点与说明'!P50),2,IF(AND(22&gt;='节点与说明'!O50-'节点与说明'!G50,22&lt;'节点与说明'!O50),1,"")))</x:f>
      </x:c>
      <x:c r="AD57" s="13" t="str">
        <x:f>IF(OR('节点与说明'!H50="不适用",23&gt;'时间线'!$C$9+1),"",IF(AND(23&gt;='节点与说明'!O50,23&lt;='节点与说明'!P50),2,IF(AND(23&gt;='节点与说明'!O50-'节点与说明'!G50,23&lt;'节点与说明'!O50),1,"")))</x:f>
      </x:c>
      <x:c r="AE57" s="13" t="str">
        <x:f>IF(OR('节点与说明'!H50="不适用",24&gt;'时间线'!$C$9+1),"",IF(AND(24&gt;='节点与说明'!O50,24&lt;='节点与说明'!P50),2,IF(AND(24&gt;='节点与说明'!O50-'节点与说明'!G50,24&lt;'节点与说明'!O50),1,"")))</x:f>
      </x:c>
      <x:c r="AF57" s="13" t="str">
        <x:f>IF(OR('节点与说明'!H50="不适用",25&gt;'时间线'!$C$9+1),"",IF(AND(25&gt;='节点与说明'!O50,25&lt;='节点与说明'!P50),2,IF(AND(25&gt;='节点与说明'!O50-'节点与说明'!G50,25&lt;'节点与说明'!O50),1,"")))</x:f>
      </x:c>
      <x:c r="AG57" s="13" t="str">
        <x:f>IF(OR('节点与说明'!H50="不适用",26&gt;'时间线'!$C$9+1),"",IF(AND(26&gt;='节点与说明'!O50,26&lt;='节点与说明'!P50),2,IF(AND(26&gt;='节点与说明'!O50-'节点与说明'!G50,26&lt;'节点与说明'!O50),1,"")))</x:f>
      </x:c>
      <x:c r="AH57" s="13" t="str">
        <x:f>IF(OR('节点与说明'!H50="不适用",27&gt;'时间线'!$C$9+1),"",IF(AND(27&gt;='节点与说明'!O50,27&lt;='节点与说明'!P50),2,IF(AND(27&gt;='节点与说明'!O50-'节点与说明'!G50,27&lt;'节点与说明'!O50),1,"")))</x:f>
      </x:c>
      <x:c r="AI57" s="13" t="str">
        <x:f>IF(OR('节点与说明'!H50="不适用",28&gt;'时间线'!$C$9+1),"",IF(AND(28&gt;='节点与说明'!O50,28&lt;='节点与说明'!P50),2,IF(AND(28&gt;='节点与说明'!O50-'节点与说明'!G50,28&lt;'节点与说明'!O50),1,"")))</x:f>
      </x:c>
      <x:c r="AJ57" s="13" t="str">
        <x:f>IF(OR('节点与说明'!H50="不适用",29&gt;'时间线'!$C$9+1),"",IF(AND(29&gt;='节点与说明'!O50,29&lt;='节点与说明'!P50),2,IF(AND(29&gt;='节点与说明'!O50-'节点与说明'!G50,29&lt;'节点与说明'!O50),1,"")))</x:f>
      </x:c>
      <x:c r="AK57" s="13" t="str">
        <x:f>IF(OR('节点与说明'!H50="不适用",30&gt;'时间线'!$C$9+1),"",IF(AND(30&gt;='节点与说明'!O50,30&lt;='节点与说明'!P50),2,IF(AND(30&gt;='节点与说明'!O50-'节点与说明'!G50,30&lt;'节点与说明'!O50),1,"")))</x:f>
      </x:c>
      <x:c r="AL57" s="13" t="str">
        <x:f>IF(OR('节点与说明'!H50="不适用",31&gt;'时间线'!$C$9+1),"",IF(AND(31&gt;='节点与说明'!O50,31&lt;='节点与说明'!P50),2,IF(AND(31&gt;='节点与说明'!O50-'节点与说明'!G50,31&lt;'节点与说明'!O50),1,"")))</x:f>
      </x:c>
      <x:c r="AM57" s="13" t="str">
        <x:f>IF(OR('节点与说明'!H50="不适用",32&gt;'时间线'!$C$9+1),"",IF(AND(32&gt;='节点与说明'!O50,32&lt;='节点与说明'!P50),2,IF(AND(32&gt;='节点与说明'!O50-'节点与说明'!G50,32&lt;'节点与说明'!O50),1,"")))</x:f>
      </x:c>
      <x:c r="AN57" s="13" t="str">
        <x:f>IF(OR('节点与说明'!H50="不适用",33&gt;'时间线'!$C$9+1),"",IF(AND(33&gt;='节点与说明'!O50,33&lt;='节点与说明'!P50),2,IF(AND(33&gt;='节点与说明'!O50-'节点与说明'!G50,33&lt;'节点与说明'!O50),1,"")))</x:f>
      </x:c>
      <x:c r="AO57" s="13" t="str">
        <x:f>IF(OR('节点与说明'!H50="不适用",34&gt;'时间线'!$C$9+1),"",IF(AND(34&gt;='节点与说明'!O50,34&lt;='节点与说明'!P50),2,IF(AND(34&gt;='节点与说明'!O50-'节点与说明'!G50,34&lt;'节点与说明'!O50),1,"")))</x:f>
      </x:c>
      <x:c r="AP57" s="13" t="str">
        <x:f>IF(OR('节点与说明'!H50="不适用",35&gt;'时间线'!$C$9+1),"",IF(AND(35&gt;='节点与说明'!O50,35&lt;='节点与说明'!P50),2,IF(AND(35&gt;='节点与说明'!O50-'节点与说明'!G50,35&lt;'节点与说明'!O50),1,"")))</x:f>
      </x:c>
      <x:c r="AQ57" s="2"/>
      <x:c r="AR57" s="11" t="str">
        <x:f>'节点与说明'!N50</x:f>
        <x:v>提前2–3个月练协作；保留校内审核与报名缴费的时间。</x:v>
      </x:c>
    </x:row>
    <x:row r="58" ht="27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</x:row>
  </x:sheetData>
  <x:conditionalFormatting sqref="G14:AP14">
    <x:cfRule type="cellIs" dxfId="0" priority="1" operator="equal">
      <x:formula>1</x:formula>
    </x:cfRule>
    <x:cfRule type="cellIs" dxfId="1" priority="2" operator="equal">
      <x:formula>2</x:formula>
    </x:cfRule>
  </x:conditionalFormatting>
  <x:conditionalFormatting sqref="G15:AP15">
    <x:cfRule type="cellIs" dxfId="2" priority="3" operator="equal">
      <x:formula>1</x:formula>
    </x:cfRule>
    <x:cfRule type="cellIs" dxfId="3" priority="4" operator="equal">
      <x:formula>2</x:formula>
    </x:cfRule>
  </x:conditionalFormatting>
  <x:conditionalFormatting sqref="G16:AP16">
    <x:cfRule type="cellIs" dxfId="4" priority="5" operator="equal">
      <x:formula>1</x:formula>
    </x:cfRule>
    <x:cfRule type="cellIs" dxfId="5" priority="6" operator="equal">
      <x:formula>2</x:formula>
    </x:cfRule>
  </x:conditionalFormatting>
  <x:conditionalFormatting sqref="G17:AP17">
    <x:cfRule type="cellIs" dxfId="6" priority="7" operator="equal">
      <x:formula>1</x:formula>
    </x:cfRule>
    <x:cfRule type="cellIs" dxfId="7" priority="8" operator="equal">
      <x:formula>2</x:formula>
    </x:cfRule>
  </x:conditionalFormatting>
  <x:conditionalFormatting sqref="G18:AP18">
    <x:cfRule type="cellIs" dxfId="8" priority="9" operator="equal">
      <x:formula>1</x:formula>
    </x:cfRule>
    <x:cfRule type="cellIs" dxfId="9" priority="10" operator="equal">
      <x:formula>2</x:formula>
    </x:cfRule>
  </x:conditionalFormatting>
  <x:conditionalFormatting sqref="G19:AP19">
    <x:cfRule type="cellIs" dxfId="10" priority="11" operator="equal">
      <x:formula>1</x:formula>
    </x:cfRule>
    <x:cfRule type="cellIs" dxfId="11" priority="12" operator="equal">
      <x:formula>2</x:formula>
    </x:cfRule>
  </x:conditionalFormatting>
  <x:conditionalFormatting sqref="G20:AP20">
    <x:cfRule type="cellIs" dxfId="12" priority="13" operator="equal">
      <x:formula>1</x:formula>
    </x:cfRule>
    <x:cfRule type="cellIs" dxfId="13" priority="14" operator="equal">
      <x:formula>2</x:formula>
    </x:cfRule>
  </x:conditionalFormatting>
  <x:conditionalFormatting sqref="G21:AP21">
    <x:cfRule type="cellIs" dxfId="14" priority="15" operator="equal">
      <x:formula>1</x:formula>
    </x:cfRule>
    <x:cfRule type="cellIs" dxfId="15" priority="16" operator="equal">
      <x:formula>2</x:formula>
    </x:cfRule>
  </x:conditionalFormatting>
  <x:conditionalFormatting sqref="G22:AP22">
    <x:cfRule type="cellIs" dxfId="16" priority="17" operator="equal">
      <x:formula>1</x:formula>
    </x:cfRule>
    <x:cfRule type="cellIs" dxfId="17" priority="18" operator="equal">
      <x:formula>2</x:formula>
    </x:cfRule>
  </x:conditionalFormatting>
  <x:conditionalFormatting sqref="G23:AP23">
    <x:cfRule type="cellIs" dxfId="18" priority="19" operator="equal">
      <x:formula>1</x:formula>
    </x:cfRule>
    <x:cfRule type="cellIs" dxfId="19" priority="20" operator="equal">
      <x:formula>2</x:formula>
    </x:cfRule>
  </x:conditionalFormatting>
  <x:conditionalFormatting sqref="G24:AP24">
    <x:cfRule type="cellIs" dxfId="20" priority="21" operator="equal">
      <x:formula>1</x:formula>
    </x:cfRule>
    <x:cfRule type="cellIs" dxfId="21" priority="22" operator="equal">
      <x:formula>2</x:formula>
    </x:cfRule>
  </x:conditionalFormatting>
  <x:conditionalFormatting sqref="G25:AP25">
    <x:cfRule type="cellIs" dxfId="22" priority="23" operator="equal">
      <x:formula>1</x:formula>
    </x:cfRule>
    <x:cfRule type="cellIs" dxfId="23" priority="24" operator="equal">
      <x:formula>2</x:formula>
    </x:cfRule>
  </x:conditionalFormatting>
  <x:conditionalFormatting sqref="G26:AP26">
    <x:cfRule type="cellIs" dxfId="24" priority="25" operator="equal">
      <x:formula>1</x:formula>
    </x:cfRule>
    <x:cfRule type="cellIs" dxfId="25" priority="26" operator="equal">
      <x:formula>2</x:formula>
    </x:cfRule>
  </x:conditionalFormatting>
  <x:conditionalFormatting sqref="G27:AP27">
    <x:cfRule type="cellIs" dxfId="26" priority="27" operator="equal">
      <x:formula>1</x:formula>
    </x:cfRule>
    <x:cfRule type="cellIs" dxfId="27" priority="28" operator="equal">
      <x:formula>2</x:formula>
    </x:cfRule>
  </x:conditionalFormatting>
  <x:conditionalFormatting sqref="G28:AP28">
    <x:cfRule type="cellIs" dxfId="28" priority="29" operator="equal">
      <x:formula>1</x:formula>
    </x:cfRule>
    <x:cfRule type="cellIs" dxfId="29" priority="30" operator="equal">
      <x:formula>2</x:formula>
    </x:cfRule>
  </x:conditionalFormatting>
  <x:conditionalFormatting sqref="G29:AP29">
    <x:cfRule type="cellIs" dxfId="30" priority="31" operator="equal">
      <x:formula>1</x:formula>
    </x:cfRule>
    <x:cfRule type="cellIs" dxfId="31" priority="32" operator="equal">
      <x:formula>2</x:formula>
    </x:cfRule>
  </x:conditionalFormatting>
  <x:conditionalFormatting sqref="G30:AP30">
    <x:cfRule type="cellIs" dxfId="32" priority="33" operator="equal">
      <x:formula>1</x:formula>
    </x:cfRule>
    <x:cfRule type="cellIs" dxfId="33" priority="34" operator="equal">
      <x:formula>2</x:formula>
    </x:cfRule>
  </x:conditionalFormatting>
  <x:conditionalFormatting sqref="G31:AP31">
    <x:cfRule type="cellIs" dxfId="34" priority="35" operator="equal">
      <x:formula>1</x:formula>
    </x:cfRule>
    <x:cfRule type="cellIs" dxfId="35" priority="36" operator="equal">
      <x:formula>2</x:formula>
    </x:cfRule>
  </x:conditionalFormatting>
  <x:conditionalFormatting sqref="G32:AP32">
    <x:cfRule type="cellIs" dxfId="36" priority="37" operator="equal">
      <x:formula>1</x:formula>
    </x:cfRule>
    <x:cfRule type="cellIs" dxfId="37" priority="38" operator="equal">
      <x:formula>2</x:formula>
    </x:cfRule>
  </x:conditionalFormatting>
  <x:conditionalFormatting sqref="G33:AP33">
    <x:cfRule type="cellIs" dxfId="38" priority="39" operator="equal">
      <x:formula>1</x:formula>
    </x:cfRule>
    <x:cfRule type="cellIs" dxfId="39" priority="40" operator="equal">
      <x:formula>2</x:formula>
    </x:cfRule>
  </x:conditionalFormatting>
  <x:conditionalFormatting sqref="G34:AP34">
    <x:cfRule type="cellIs" dxfId="40" priority="41" operator="equal">
      <x:formula>1</x:formula>
    </x:cfRule>
    <x:cfRule type="cellIs" dxfId="41" priority="42" operator="equal">
      <x:formula>2</x:formula>
    </x:cfRule>
  </x:conditionalFormatting>
  <x:conditionalFormatting sqref="G35:AP35">
    <x:cfRule type="cellIs" dxfId="42" priority="43" operator="equal">
      <x:formula>1</x:formula>
    </x:cfRule>
    <x:cfRule type="cellIs" dxfId="43" priority="44" operator="equal">
      <x:formula>2</x:formula>
    </x:cfRule>
  </x:conditionalFormatting>
  <x:conditionalFormatting sqref="G36:AP36">
    <x:cfRule type="cellIs" dxfId="44" priority="45" operator="equal">
      <x:formula>1</x:formula>
    </x:cfRule>
    <x:cfRule type="cellIs" dxfId="45" priority="46" operator="equal">
      <x:formula>2</x:formula>
    </x:cfRule>
  </x:conditionalFormatting>
  <x:conditionalFormatting sqref="G37:AP37">
    <x:cfRule type="cellIs" dxfId="46" priority="47" operator="equal">
      <x:formula>1</x:formula>
    </x:cfRule>
    <x:cfRule type="cellIs" dxfId="47" priority="48" operator="equal">
      <x:formula>2</x:formula>
    </x:cfRule>
  </x:conditionalFormatting>
  <x:conditionalFormatting sqref="G38:AP38">
    <x:cfRule type="cellIs" dxfId="48" priority="49" operator="equal">
      <x:formula>1</x:formula>
    </x:cfRule>
    <x:cfRule type="cellIs" dxfId="49" priority="50" operator="equal">
      <x:formula>2</x:formula>
    </x:cfRule>
  </x:conditionalFormatting>
  <x:conditionalFormatting sqref="G39:AP39">
    <x:cfRule type="cellIs" dxfId="50" priority="51" operator="equal">
      <x:formula>1</x:formula>
    </x:cfRule>
    <x:cfRule type="cellIs" dxfId="51" priority="52" operator="equal">
      <x:formula>2</x:formula>
    </x:cfRule>
  </x:conditionalFormatting>
  <x:conditionalFormatting sqref="G40:AP40">
    <x:cfRule type="cellIs" dxfId="52" priority="53" operator="equal">
      <x:formula>1</x:formula>
    </x:cfRule>
    <x:cfRule type="cellIs" dxfId="53" priority="54" operator="equal">
      <x:formula>2</x:formula>
    </x:cfRule>
  </x:conditionalFormatting>
  <x:conditionalFormatting sqref="G41:AP41">
    <x:cfRule type="cellIs" dxfId="54" priority="55" operator="equal">
      <x:formula>1</x:formula>
    </x:cfRule>
    <x:cfRule type="cellIs" dxfId="55" priority="56" operator="equal">
      <x:formula>2</x:formula>
    </x:cfRule>
  </x:conditionalFormatting>
  <x:conditionalFormatting sqref="G42:AP42">
    <x:cfRule type="cellIs" dxfId="56" priority="57" operator="equal">
      <x:formula>1</x:formula>
    </x:cfRule>
    <x:cfRule type="cellIs" dxfId="57" priority="58" operator="equal">
      <x:formula>2</x:formula>
    </x:cfRule>
  </x:conditionalFormatting>
  <x:conditionalFormatting sqref="G43:AP43">
    <x:cfRule type="cellIs" dxfId="58" priority="59" operator="equal">
      <x:formula>1</x:formula>
    </x:cfRule>
    <x:cfRule type="cellIs" dxfId="59" priority="60" operator="equal">
      <x:formula>2</x:formula>
    </x:cfRule>
  </x:conditionalFormatting>
  <x:conditionalFormatting sqref="G44:AP44">
    <x:cfRule type="cellIs" dxfId="60" priority="61" operator="equal">
      <x:formula>1</x:formula>
    </x:cfRule>
    <x:cfRule type="cellIs" dxfId="61" priority="62" operator="equal">
      <x:formula>2</x:formula>
    </x:cfRule>
  </x:conditionalFormatting>
  <x:conditionalFormatting sqref="G45:AP45">
    <x:cfRule type="cellIs" dxfId="62" priority="63" operator="equal">
      <x:formula>1</x:formula>
    </x:cfRule>
    <x:cfRule type="cellIs" dxfId="63" priority="64" operator="equal">
      <x:formula>2</x:formula>
    </x:cfRule>
  </x:conditionalFormatting>
  <x:conditionalFormatting sqref="G46:AP46">
    <x:cfRule type="cellIs" dxfId="64" priority="65" operator="equal">
      <x:formula>1</x:formula>
    </x:cfRule>
    <x:cfRule type="cellIs" dxfId="65" priority="66" operator="equal">
      <x:formula>2</x:formula>
    </x:cfRule>
  </x:conditionalFormatting>
  <x:conditionalFormatting sqref="G47:AP47">
    <x:cfRule type="cellIs" dxfId="66" priority="67" operator="equal">
      <x:formula>1</x:formula>
    </x:cfRule>
    <x:cfRule type="cellIs" dxfId="67" priority="68" operator="equal">
      <x:formula>2</x:formula>
    </x:cfRule>
  </x:conditionalFormatting>
  <x:conditionalFormatting sqref="G48:AP48">
    <x:cfRule type="cellIs" dxfId="68" priority="69" operator="equal">
      <x:formula>1</x:formula>
    </x:cfRule>
    <x:cfRule type="cellIs" dxfId="69" priority="70" operator="equal">
      <x:formula>2</x:formula>
    </x:cfRule>
  </x:conditionalFormatting>
  <x:conditionalFormatting sqref="G49:AP49">
    <x:cfRule type="cellIs" dxfId="70" priority="71" operator="equal">
      <x:formula>1</x:formula>
    </x:cfRule>
    <x:cfRule type="cellIs" dxfId="71" priority="72" operator="equal">
      <x:formula>2</x:formula>
    </x:cfRule>
  </x:conditionalFormatting>
  <x:conditionalFormatting sqref="G50:AP50">
    <x:cfRule type="cellIs" dxfId="72" priority="73" operator="equal">
      <x:formula>1</x:formula>
    </x:cfRule>
    <x:cfRule type="cellIs" dxfId="73" priority="74" operator="equal">
      <x:formula>2</x:formula>
    </x:cfRule>
  </x:conditionalFormatting>
  <x:conditionalFormatting sqref="G51:AP51">
    <x:cfRule type="cellIs" dxfId="74" priority="75" operator="equal">
      <x:formula>1</x:formula>
    </x:cfRule>
    <x:cfRule type="cellIs" dxfId="75" priority="76" operator="equal">
      <x:formula>2</x:formula>
    </x:cfRule>
  </x:conditionalFormatting>
  <x:conditionalFormatting sqref="G52:AP52">
    <x:cfRule type="cellIs" dxfId="76" priority="77" operator="equal">
      <x:formula>1</x:formula>
    </x:cfRule>
    <x:cfRule type="cellIs" dxfId="77" priority="78" operator="equal">
      <x:formula>2</x:formula>
    </x:cfRule>
  </x:conditionalFormatting>
  <x:conditionalFormatting sqref="G53:AP53">
    <x:cfRule type="cellIs" dxfId="78" priority="79" operator="equal">
      <x:formula>1</x:formula>
    </x:cfRule>
    <x:cfRule type="cellIs" dxfId="79" priority="80" operator="equal">
      <x:formula>2</x:formula>
    </x:cfRule>
  </x:conditionalFormatting>
  <x:conditionalFormatting sqref="G54:AP54">
    <x:cfRule type="cellIs" dxfId="80" priority="81" operator="equal">
      <x:formula>1</x:formula>
    </x:cfRule>
    <x:cfRule type="cellIs" dxfId="81" priority="82" operator="equal">
      <x:formula>2</x:formula>
    </x:cfRule>
  </x:conditionalFormatting>
  <x:conditionalFormatting sqref="G55:AP55">
    <x:cfRule type="cellIs" dxfId="82" priority="83" operator="equal">
      <x:formula>1</x:formula>
    </x:cfRule>
    <x:cfRule type="cellIs" dxfId="83" priority="84" operator="equal">
      <x:formula>2</x:formula>
    </x:cfRule>
  </x:conditionalFormatting>
  <x:conditionalFormatting sqref="G56:AP56">
    <x:cfRule type="cellIs" dxfId="84" priority="85" operator="equal">
      <x:formula>1</x:formula>
    </x:cfRule>
    <x:cfRule type="cellIs" dxfId="85" priority="86" operator="equal">
      <x:formula>2</x:formula>
    </x:cfRule>
  </x:conditionalFormatting>
  <x:conditionalFormatting sqref="G57:AP57">
    <x:cfRule type="cellIs" dxfId="86" priority="87" operator="equal">
      <x:formula>1</x:formula>
    </x:cfRule>
    <x:cfRule type="cellIs" dxfId="87" priority="88" operator="equal">
      <x:formula>2</x:formula>
    </x:cfRule>
  </x:conditionalFormatting>
  <x:dataValidations count="2">
    <x:dataValidation type="whole" operator="between" sqref="C5">
      <x:formula1>1</x:formula1>
      <x:formula2>12</x:formula2>
    </x:dataValidation>
    <x:dataValidation type="whole" operator="between" sqref="C7">
      <x:formula1>1</x:formula1>
      <x:formula2>12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92BF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7" hidden="0" customWidth="1"/>
    <x:col min="2" max="2" width="8" hidden="0" customWidth="1"/>
    <x:col min="3" max="3" width="3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6" hidden="0" customWidth="1"/>
    <x:col min="11" max="11" width="26" hidden="0" customWidth="1"/>
    <x:col min="12" max="12" width="48" hidden="0" customWidth="1"/>
    <x:col min="13" max="13" width="48" hidden="0" customWidth="1"/>
    <x:col min="14" max="14" width="48" hidden="0" customWidth="1"/>
    <x:col min="15" max="15" width="11" hidden="0" customWidth="1"/>
    <x:col min="16" max="16" width="11" hidden="0" customWidth="1"/>
    <x:col min="17" max="17" width="15" hidden="0" customWidth="1"/>
    <x:col min="18" max="18" width="15" hidden="0" customWidth="1"/>
    <x:col min="19" max="19" width="15" hidden="0" customWidth="1"/>
    <x:col min="20" max="20" width="24" hidden="0" customWidth="1"/>
    <x:col min="21" max="21" width="6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7" customHeight="1">
      <x:c r="A2" s="3" t="str">
        <x:v>节点与说明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7" customHeight="1">
      <x:c r="A3" s="2" t="str">
        <x:v>黄色栏可改。0 = 所选锚点所在月；毕业锚点的负数表示距毕业前几个月。三年制，不绑定具体年份。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7" customHeight="1">
      <x:c r="A4" s="2" t="str">
        <x:v>「建议窗口」与「校级规定」分开保存。完成状态需由本人填写；所有可选项目先核资格再投入。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34" customHeight="1">
      <x:c r="A6" s="10" t="str">
        <x:v>编号</x:v>
      </x:c>
      <x:c r="B6" s="10" t="str">
        <x:v>类别</x:v>
      </x:c>
      <x:c r="C6" s="10" t="str">
        <x:v>节点</x:v>
      </x:c>
      <x:c r="D6" s="10" t="str">
        <x:v>时间锚点</x:v>
      </x:c>
      <x:c r="E6" s="10" t="str">
        <x:v>开始偏移（月）</x:v>
      </x:c>
      <x:c r="F6" s="10" t="str">
        <x:v>结束偏移（月）</x:v>
      </x:c>
      <x:c r="G6" s="10" t="str">
        <x:v>提前（月）</x:v>
      </x:c>
      <x:c r="H6" s="10" t="str">
        <x:v>进度</x:v>
      </x:c>
      <x:c r="I6" s="10" t="str">
        <x:v>优先级</x:v>
      </x:c>
      <x:c r="J6" s="10" t="str">
        <x:v>适用范围</x:v>
      </x:c>
      <x:c r="K6" s="10" t="str">
        <x:v>时间依据与性质</x:v>
      </x:c>
      <x:c r="L6" s="10" t="str">
        <x:v>规则与节点解释</x:v>
      </x:c>
      <x:c r="M6" s="10" t="str">
        <x:v>应完成的材料/成果</x:v>
      </x:c>
      <x:c r="N6" s="10" t="str">
        <x:v>提前准备建议</x:v>
      </x:c>
      <x:c r="O6" s="10" t="str">
        <x:v>入学后开始月</x:v>
      </x:c>
      <x:c r="P6" s="10" t="str">
        <x:v>入学后结束月</x:v>
      </x:c>
      <x:c r="Q6" s="10" t="str">
        <x:v>规划开始</x:v>
      </x:c>
      <x:c r="R6" s="10" t="str">
        <x:v>规划结束</x:v>
      </x:c>
      <x:c r="S6" s="10" t="str">
        <x:v>准备起点</x:v>
      </x:c>
      <x:c r="T6" s="10" t="str">
        <x:v>个人备注</x:v>
      </x:c>
      <x:c r="U6" s="10" t="str">
        <x:v>来源/页码（保留依据版本）</x:v>
      </x:c>
    </x:row>
    <x:row r="7" ht="105" customHeight="1">
      <x:c r="A7" s="2" t="str">
        <x:v>A01</x:v>
      </x:c>
      <x:c r="B7" s="15" t="str">
        <x:v>培养</x:v>
      </x:c>
      <x:c r="C7" s="2" t="str">
        <x:v>制定个人培养计划</x:v>
      </x:c>
      <x:c r="D7" s="4" t="str">
        <x:v>入学</x:v>
      </x:c>
      <x:c r="E7" s="4" t="n">
        <x:v>0</x:v>
      </x:c>
      <x:c r="F7" s="4" t="n">
        <x:v>0</x:v>
      </x:c>
      <x:c r="G7" s="4" t="n">
        <x:v>0</x:v>
      </x:c>
      <x:c r="H7" s="4" t="str">
        <x:v>待确认</x:v>
      </x:c>
      <x:c r="I7" s="4" t="str">
        <x:v>必做</x:v>
      </x:c>
      <x:c r="J7" s="11" t="str">
        <x:v>全体硕士</x:v>
      </x:c>
      <x:c r="K7" s="11" t="str">
        <x:v>校级规定：入学后两周内。图中按月显示，实际请记入两周期限。</x:v>
      </x:c>
      <x:c r="L7" s="11" t="str">
        <x:v>在导师指导下明确课程、研究方向和各培养环节。院系专业培养方案决定具体课程与成果要求。</x:v>
      </x:c>
      <x:c r="M7" s="11" t="str">
        <x:v>经导师确认的培养计划、选课清单、学院联系人。</x:v>
      </x:c>
      <x:c r="N7" s="11" t="str">
        <x:v>入学即核对本专业、本年级方案；已有计划则补记实际完成状态。</x:v>
      </x:c>
      <x:c r="O7" s="2" t="n">
        <x:f>IF(D7="毕业",'时间线'!$C$9+E7,E7)</x:f>
        <x:v>0</x:v>
      </x:c>
      <x:c r="P7" s="2" t="n">
        <x:f>IF(D7="毕业",'时间线'!$C$9+F7,F7)</x:f>
        <x:v>0</x:v>
      </x:c>
      <x:c r="Q7" s="2" t="str">
        <x:f>"研"&amp;(INT(O7/12)+1)&amp;"·"&amp;(MOD('时间线'!$C$5-1+O7,12)+1)&amp;"月"</x:f>
        <x:v>研1·9月</x:v>
      </x:c>
      <x:c r="R7" s="2" t="str">
        <x:f>"研"&amp;(INT(P7/12)+1)&amp;"·"&amp;(MOD('时间线'!$C$5-1+P7,12)+1)&amp;"月"</x:f>
        <x:v>研1·9月</x:v>
      </x:c>
      <x:c r="S7" s="2" t="str">
        <x:f>IF(O7-G7&lt;0,"入学前","研"&amp;(INT((O7-G7)/12)+1)&amp;"·"&amp;(MOD('时间线'!$C$5-1+O7-G7,12)+1)&amp;"月")</x:f>
        <x:v>研1·9月</x:v>
      </x:c>
      <x:c r="T7" s="24"/>
      <x:c r="U7" s="11" t="str">
        <x:v>用户提供《2026研究生手册》书23–24页，PDF14–15页。</x:v>
      </x:c>
    </x:row>
    <x:row r="8" ht="105" customHeight="1">
      <x:c r="A8" s="2" t="str">
        <x:v>A18</x:v>
      </x:c>
      <x:c r="B8" s="15" t="str">
        <x:v>培养</x:v>
      </x:c>
      <x:c r="C8" s="2" t="str">
        <x:v>入学3个月内确定研究范围</x:v>
      </x:c>
      <x:c r="D8" s="4" t="str">
        <x:v>入学</x:v>
      </x:c>
      <x:c r="E8" s="4" t="n">
        <x:v>0</x:v>
      </x:c>
      <x:c r="F8" s="4" t="n">
        <x:v>2</x:v>
      </x:c>
      <x:c r="G8" s="4" t="n">
        <x:v>0</x:v>
      </x:c>
      <x:c r="H8" s="4" t="str">
        <x:v>待确认</x:v>
      </x:c>
      <x:c r="I8" s="4" t="str">
        <x:v>必做</x:v>
      </x:c>
      <x:c r="J8" s="11" t="str">
        <x:v>全体硕士</x:v>
      </x:c>
      <x:c r="K8" s="11" t="str">
        <x:v>校级：一般入学后3个月内确定研究范围。</x:v>
      </x:c>
      <x:c r="L8" s="11" t="str">
        <x:v>先明确研究边界、导师方向、数据或设备可用性，再逐步形成开题方案。</x:v>
      </x:c>
      <x:c r="M8" s="11" t="str">
        <x:v>研究范围说明、2–3个候选问题与导师反馈。</x:v>
      </x:c>
      <x:c r="N8" s="11" t="str">
        <x:v>入学首月开始整理，第二个月检查可行性。</x:v>
      </x:c>
      <x:c r="O8" s="2" t="n">
        <x:f>IF(D8="毕业",'时间线'!$C$9+E8,E8)</x:f>
        <x:v>0</x:v>
      </x:c>
      <x:c r="P8" s="2" t="n">
        <x:f>IF(D8="毕业",'时间线'!$C$9+F8,F8)</x:f>
        <x:v>2</x:v>
      </x:c>
      <x:c r="Q8" s="2" t="str">
        <x:f>"研"&amp;(INT(O8/12)+1)&amp;"·"&amp;(MOD('时间线'!$C$5-1+O8,12)+1)&amp;"月"</x:f>
        <x:v>研1·9月</x:v>
      </x:c>
      <x:c r="R8" s="2" t="str">
        <x:f>"研"&amp;(INT(P8/12)+1)&amp;"·"&amp;(MOD('时间线'!$C$5-1+P8,12)+1)&amp;"月"</x:f>
        <x:v>研1·11月</x:v>
      </x:c>
      <x:c r="S8" s="2" t="str">
        <x:f>IF(O8-G8&lt;0,"入学前","研"&amp;(INT((O8-G8)/12)+1)&amp;"·"&amp;(MOD('时间线'!$C$5-1+O8-G8,12)+1)&amp;"月")</x:f>
        <x:v>研1·9月</x:v>
      </x:c>
      <x:c r="T8" s="24"/>
      <x:c r="U8" s="11" t="str">
        <x:v>用户提供《2026研究生手册》书104、119页；PDF55、62页。</x:v>
      </x:c>
    </x:row>
    <x:row r="9" ht="105" customHeight="1">
      <x:c r="A9" s="2" t="str">
        <x:v>A02</x:v>
      </x:c>
      <x:c r="B9" s="15" t="str">
        <x:v>培养</x:v>
      </x:c>
      <x:c r="C9" s="2" t="str">
        <x:v>课程及学分核对</x:v>
      </x:c>
      <x:c r="D9" s="4" t="str">
        <x:v>入学</x:v>
      </x:c>
      <x:c r="E9" s="4" t="n">
        <x:v>0</x:v>
      </x:c>
      <x:c r="F9" s="4" t="n">
        <x:v>11</x:v>
      </x:c>
      <x:c r="G9" s="4" t="n">
        <x:v>0</x:v>
      </x:c>
      <x:c r="H9" s="4" t="str">
        <x:v>待确认</x:v>
      </x:c>
      <x:c r="I9" s="4" t="str">
        <x:v>必做</x:v>
      </x:c>
      <x:c r="J9" s="11" t="str">
        <x:v>全体硕士</x:v>
      </x:c>
      <x:c r="K9" s="11" t="str">
        <x:v>校级：申请答辩前完成；前两学期集中修读为建议。</x:v>
      </x:c>
      <x:c r="L9" s="11" t="str">
        <x:v>学硕课程总学分不少于25，其他要求按本专业培养方案。专硕学分不能套用学硕标准。</x:v>
      </x:c>
      <x:c r="M9" s="11" t="str">
        <x:v>课程与学分对照表、未完成课程及补修安排。</x:v>
      </x:c>
      <x:c r="N9" s="11" t="str">
        <x:v>每学期选课前检查开课周期，优先处理一年只开一次的必修课。</x:v>
      </x:c>
      <x:c r="O9" s="2" t="n">
        <x:f>IF(D9="毕业",'时间线'!$C$9+E9,E9)</x:f>
        <x:v>0</x:v>
      </x:c>
      <x:c r="P9" s="2" t="n">
        <x:f>IF(D9="毕业",'时间线'!$C$9+F9,F9)</x:f>
        <x:v>11</x:v>
      </x:c>
      <x:c r="Q9" s="2" t="str">
        <x:f>"研"&amp;(INT(O9/12)+1)&amp;"·"&amp;(MOD('时间线'!$C$5-1+O9,12)+1)&amp;"月"</x:f>
        <x:v>研1·9月</x:v>
      </x:c>
      <x:c r="R9" s="2" t="str">
        <x:f>"研"&amp;(INT(P9/12)+1)&amp;"·"&amp;(MOD('时间线'!$C$5-1+P9,12)+1)&amp;"月"</x:f>
        <x:v>研1·8月</x:v>
      </x:c>
      <x:c r="S9" s="2" t="str">
        <x:f>IF(O9-G9&lt;0,"入学前","研"&amp;(INT((O9-G9)/12)+1)&amp;"·"&amp;(MOD('时间线'!$C$5-1+O9-G9,12)+1)&amp;"月")</x:f>
        <x:v>研1·9月</x:v>
      </x:c>
      <x:c r="T9" s="24"/>
      <x:c r="U9" s="11" t="str">
        <x:v>用户提供《2026研究生手册》书23–24页，PDF14–15页。</x:v>
      </x:c>
    </x:row>
    <x:row r="10" ht="105" customHeight="1">
      <x:c r="A10" s="2" t="str">
        <x:v>A19</x:v>
      </x:c>
      <x:c r="B10" s="15" t="str">
        <x:v>培养</x:v>
      </x:c>
      <x:c r="C10" s="2" t="str">
        <x:v>学术活动／技术报告积累</x:v>
      </x:c>
      <x:c r="D10" s="4" t="str">
        <x:v>毕业</x:v>
      </x:c>
      <x:c r="E10" s="4" t="n">
        <x:f>-'时间线'!$C$9</x:f>
        <x:v>-33</x:v>
      </x:c>
      <x:c r="F10" s="4" t="n">
        <x:v>-2</x:v>
      </x:c>
      <x:c r="G10" s="4" t="n">
        <x:v>0</x:v>
      </x:c>
      <x:c r="H10" s="4" t="str">
        <x:v>待确认</x:v>
      </x:c>
      <x:c r="I10" s="4" t="str">
        <x:v>必做</x:v>
      </x:c>
      <x:c r="J10" s="11" t="str">
        <x:v>学硕；全日制专硕按各自要求</x:v>
      </x:c>
      <x:c r="K10" s="11" t="str">
        <x:v>学硕≥10次且跨方向≥2次；全日制专硕答辩前≥5次技术报告。</x:v>
      </x:c>
      <x:c r="L10" s="11" t="str">
        <x:v>按培养方案保存有效记录，不能等最后学期补齐。不同类别及抵扣条件需逐条核对。</x:v>
      </x:c>
      <x:c r="M10" s="11" t="str">
        <x:v>报告登记、考核表、跨方向活动记录。</x:v>
      </x:c>
      <x:c r="N10" s="11" t="str">
        <x:v>每学期均匀安排，参加后立即登记。</x:v>
      </x:c>
      <x:c r="O10" s="2" t="n">
        <x:f>IF(D10="毕业",'时间线'!$C$9+E10,E10)</x:f>
        <x:v>0</x:v>
      </x:c>
      <x:c r="P10" s="2" t="n">
        <x:f>IF(D10="毕业",'时间线'!$C$9+F10,F10)</x:f>
        <x:v>31</x:v>
      </x:c>
      <x:c r="Q10" s="2" t="str">
        <x:f>"研"&amp;(INT(O10/12)+1)&amp;"·"&amp;(MOD('时间线'!$C$5-1+O10,12)+1)&amp;"月"</x:f>
        <x:v>研1·9月</x:v>
      </x:c>
      <x:c r="R10" s="2" t="str">
        <x:f>"研"&amp;(INT(P10/12)+1)&amp;"·"&amp;(MOD('时间线'!$C$5-1+P10,12)+1)&amp;"月"</x:f>
        <x:v>研3·4月</x:v>
      </x:c>
      <x:c r="S10" s="2" t="str">
        <x:f>IF(O10-G10&lt;0,"入学前","研"&amp;(INT((O10-G10)/12)+1)&amp;"·"&amp;(MOD('时间线'!$C$5-1+O10-G10,12)+1)&amp;"月")</x:f>
        <x:v>研1·9月</x:v>
      </x:c>
      <x:c r="T10" s="24"/>
      <x:c r="U10" s="11" t="str">
        <x:v>用户提供《2026研究生手册》书62、71页；PDF34、38页。</x:v>
      </x:c>
    </x:row>
    <x:row r="11" ht="105" customHeight="1">
      <x:c r="A11" s="2" t="str">
        <x:v>A03</x:v>
      </x:c>
      <x:c r="B11" s="15" t="str">
        <x:v>培养</x:v>
      </x:c>
      <x:c r="C11" s="2" t="str">
        <x:v>选题与开题材料准备</x:v>
      </x:c>
      <x:c r="D11" s="4" t="str">
        <x:v>入学</x:v>
      </x:c>
      <x:c r="E11" s="4" t="n">
        <x:v>3</x:v>
      </x:c>
      <x:c r="F11" s="4" t="n">
        <x:v>8</x:v>
      </x:c>
      <x:c r="G11" s="4" t="n">
        <x:v>1</x:v>
      </x:c>
      <x:c r="H11" s="4" t="str">
        <x:v>待确认</x:v>
      </x:c>
      <x:c r="I11" s="4" t="str">
        <x:v>优先</x:v>
      </x:c>
      <x:c r="J11" s="11" t="str">
        <x:v>全体硕士</x:v>
      </x:c>
      <x:c r="K11" s="11" t="str">
        <x:v>个人建议：第1学年完成问题与方法论证。</x:v>
      </x:c>
      <x:c r="L11" s="11" t="str">
        <x:v>把文献、研究问题、数据或实验可行性连起来，避免仅有题目而缺实施路径。</x:v>
      </x:c>
      <x:c r="M11" s="11" t="str">
        <x:v>文献表、问题清单、技术路线、预实验或数据可用性证据。</x:v>
      </x:c>
      <x:c r="N11" s="11" t="str">
        <x:v>先确认导师研究方向与数据权限，计划至少一轮选题调整。</x:v>
      </x:c>
      <x:c r="O11" s="2" t="n">
        <x:f>IF(D11="毕业",'时间线'!$C$9+E11,E11)</x:f>
        <x:v>3</x:v>
      </x:c>
      <x:c r="P11" s="2" t="n">
        <x:f>IF(D11="毕业",'时间线'!$C$9+F11,F11)</x:f>
        <x:v>8</x:v>
      </x:c>
      <x:c r="Q11" s="2" t="str">
        <x:f>"研"&amp;(INT(O11/12)+1)&amp;"·"&amp;(MOD('时间线'!$C$5-1+O11,12)+1)&amp;"月"</x:f>
        <x:v>研1·12月</x:v>
      </x:c>
      <x:c r="R11" s="2" t="str">
        <x:f>"研"&amp;(INT(P11/12)+1)&amp;"·"&amp;(MOD('时间线'!$C$5-1+P11,12)+1)&amp;"月"</x:f>
        <x:v>研1·5月</x:v>
      </x:c>
      <x:c r="S11" s="2" t="str">
        <x:f>IF(O11-G11&lt;0,"入学前","研"&amp;(INT((O11-G11)/12)+1)&amp;"·"&amp;(MOD('时间线'!$C$5-1+O11-G11,12)+1)&amp;"月")</x:f>
        <x:v>研1·11月</x:v>
      </x:c>
      <x:c r="T11" s="24"/>
      <x:c r="U11" s="11" t="str">
        <x:v>用户提供《2026研究生手册》书23–24页；具体准备月份为规划建议。</x:v>
      </x:c>
    </x:row>
    <x:row r="12" ht="105" customHeight="1">
      <x:c r="A12" s="2" t="str">
        <x:v>A04</x:v>
      </x:c>
      <x:c r="B12" s="15" t="str">
        <x:v>培养</x:v>
      </x:c>
      <x:c r="C12" s="2" t="str">
        <x:v>开题／实践成果可行性论证</x:v>
      </x:c>
      <x:c r="D12" s="4" t="str">
        <x:v>入学</x:v>
      </x:c>
      <x:c r="E12" s="4" t="n">
        <x:v>9</x:v>
      </x:c>
      <x:c r="F12" s="4" t="n">
        <x:v>11</x:v>
      </x:c>
      <x:c r="G12" s="4" t="n">
        <x:v>3</x:v>
      </x:c>
      <x:c r="H12" s="4" t="str">
        <x:v>待确认</x:v>
      </x:c>
      <x:c r="I12" s="4" t="str">
        <x:v>必做</x:v>
      </x:c>
      <x:c r="J12" s="11" t="str">
        <x:v>学硕；专硕按论文/实践成果类型</x:v>
      </x:c>
      <x:c r="K12" s="11" t="str">
        <x:v>校级：三年制一般在第3学期开学前。图示研一下学期6–8月为建议完成窗口。</x:v>
      </x:c>
      <x:c r="L12" s="11" t="str">
        <x:v>图中M10–M12是建议完成窗口，不是开学日期。实践成果专项规定另有第3学期完成表述，须向学院确认，先按较早窗口准备。</x:v>
      </x:c>
      <x:c r="M12" s="11" t="str">
        <x:v>报告、汇报PPT、导师意见、考核记录与修改清单。</x:v>
      </x:c>
      <x:c r="N12" s="11" t="str">
        <x:v>提前3个月完成核心文献与可行性证据，提前1个月做模拟汇报。</x:v>
      </x:c>
      <x:c r="O12" s="2" t="n">
        <x:f>IF(D12="毕业",'时间线'!$C$9+E12,E12)</x:f>
        <x:v>9</x:v>
      </x:c>
      <x:c r="P12" s="2" t="n">
        <x:f>IF(D12="毕业",'时间线'!$C$9+F12,F12)</x:f>
        <x:v>11</x:v>
      </x:c>
      <x:c r="Q12" s="2" t="str">
        <x:f>"研"&amp;(INT(O12/12)+1)&amp;"·"&amp;(MOD('时间线'!$C$5-1+O12,12)+1)&amp;"月"</x:f>
        <x:v>研1·6月</x:v>
      </x:c>
      <x:c r="R12" s="2" t="str">
        <x:f>"研"&amp;(INT(P12/12)+1)&amp;"·"&amp;(MOD('时间线'!$C$5-1+P12,12)+1)&amp;"月"</x:f>
        <x:v>研1·8月</x:v>
      </x:c>
      <x:c r="S12" s="2" t="str">
        <x:f>IF(O12-G12&lt;0,"入学前","研"&amp;(INT((O12-G12)/12)+1)&amp;"·"&amp;(MOD('时间线'!$C$5-1+O12-G12,12)+1)&amp;"月")</x:f>
        <x:v>研1·3月</x:v>
      </x:c>
      <x:c r="T12" s="24"/>
      <x:c r="U12" s="11" t="str">
        <x:v>用户提供《2026研究生手册》书23–24、70、104、119页；PDF14–15、38、55、62页。</x:v>
      </x:c>
    </x:row>
    <x:row r="13" ht="105" customHeight="1">
      <x:c r="A13" s="2" t="str">
        <x:v>A20</x:v>
      </x:c>
      <x:c r="B13" s="15" t="str">
        <x:v>培养</x:v>
      </x:c>
      <x:c r="C13" s="2" t="str">
        <x:v>学硕社会实践及认定</x:v>
      </x:c>
      <x:c r="D13" s="4" t="str">
        <x:v>入学</x:v>
      </x:c>
      <x:c r="E13" s="4" t="n">
        <x:v>4</x:v>
      </x:c>
      <x:c r="F13" s="4" t="n">
        <x:v>17</x:v>
      </x:c>
      <x:c r="G13" s="4" t="n">
        <x:v>1</x:v>
      </x:c>
      <x:c r="H13" s="4" t="str">
        <x:v>待确认</x:v>
      </x:c>
      <x:c r="I13" s="4" t="str">
        <x:v>必做</x:v>
      </x:c>
      <x:c r="J13" s="11" t="str">
        <x:v>全日制学硕；专硕不套用</x:v>
      </x:c>
      <x:c r="K13" s="11" t="str">
        <x:v>校级：社会实践1学分，答辩前完成；图示为建议提前完成期。</x:v>
      </x:c>
      <x:c r="L13" s="11" t="str">
        <x:v>须校/院组织认可。自行联系的普通校外实习不自动纳入本项；按所选路径时长和证明要求完成。</x:v>
      </x:c>
      <x:c r="M13" s="11" t="str">
        <x:v>实践日志、有效盖章考核表、导师与学院认定。</x:v>
      </x:c>
      <x:c r="N13" s="11" t="str">
        <x:v>先选认可路径再参加，如合规志愿服务、助教助管、校/院实践项目。</x:v>
      </x:c>
      <x:c r="O13" s="2" t="n">
        <x:f>IF(D13="毕业",'时间线'!$C$9+E13,E13)</x:f>
        <x:v>4</x:v>
      </x:c>
      <x:c r="P13" s="2" t="n">
        <x:f>IF(D13="毕业",'时间线'!$C$9+F13,F13)</x:f>
        <x:v>17</x:v>
      </x:c>
      <x:c r="Q13" s="2" t="str">
        <x:f>"研"&amp;(INT(O13/12)+1)&amp;"·"&amp;(MOD('时间线'!$C$5-1+O13,12)+1)&amp;"月"</x:f>
        <x:v>研1·1月</x:v>
      </x:c>
      <x:c r="R13" s="2" t="str">
        <x:f>"研"&amp;(INT(P13/12)+1)&amp;"·"&amp;(MOD('时间线'!$C$5-1+P13,12)+1)&amp;"月"</x:f>
        <x:v>研2·2月</x:v>
      </x:c>
      <x:c r="S13" s="2" t="str">
        <x:f>IF(O13-G13&lt;0,"入学前","研"&amp;(INT((O13-G13)/12)+1)&amp;"·"&amp;(MOD('时间线'!$C$5-1+O13-G13,12)+1)&amp;"月")</x:f>
        <x:v>研1·12月</x:v>
      </x:c>
      <x:c r="T13" s="24"/>
      <x:c r="U13" s="11" t="str">
        <x:v>用户提供《2026研究生手册》书87–91页，PDF46–48页。</x:v>
      </x:c>
    </x:row>
    <x:row r="14" ht="105" customHeight="1">
      <x:c r="A14" s="2" t="str">
        <x:v>A05</x:v>
      </x:c>
      <x:c r="B14" s="15" t="str">
        <x:v>培养</x:v>
      </x:c>
      <x:c r="C14" s="2" t="str">
        <x:v>专业实践与校外实践安排</x:v>
      </x:c>
      <x:c r="D14" s="4" t="str">
        <x:v>入学</x:v>
      </x:c>
      <x:c r="E14" s="4" t="n">
        <x:v>10</x:v>
      </x:c>
      <x:c r="F14" s="4" t="n">
        <x:v>21</x:v>
      </x:c>
      <x:c r="G14" s="4" t="n">
        <x:v>2</x:v>
      </x:c>
      <x:c r="H14" s="4" t="str">
        <x:v>待确认</x:v>
      </x:c>
      <x:c r="I14" s="4" t="str">
        <x:v>必做</x:v>
      </x:c>
      <x:c r="J14" s="11" t="str">
        <x:v>专硕；学硕改为不适用</x:v>
      </x:c>
      <x:c r="K14" s="11" t="str">
        <x:v>校级：通常第4学期结束前完成；实践时长按专业类型核定。图示月份为建议，实际依学院通知。</x:v>
      </x:c>
      <x:c r="L14" s="11" t="str">
        <x:v>一般不少于半年；不具2年企业工作经历的工程类专硕不少于1年。全日制专硕校外累计不少于3个月。实习须先确认是否能计入培养实践。进入实践单位前须完成四方协议及校外实践申请审批。</x:v>
      </x:c>
      <x:c r="M14" s="11" t="str">
        <x:v>实践计划、协议/审批、过程记录、单位评价、总结及考核材料。</x:v>
      </x:c>
      <x:c r="N14" s="11" t="str">
        <x:v>先核工作经历和专业要求，倒推完整实践时长；不能把短期求职实习自动折算。</x:v>
      </x:c>
      <x:c r="O14" s="2" t="n">
        <x:f>IF(D14="毕业",'时间线'!$C$9+E14,E14)</x:f>
        <x:v>10</x:v>
      </x:c>
      <x:c r="P14" s="2" t="n">
        <x:f>IF(D14="毕业",'时间线'!$C$9+F14,F14)</x:f>
        <x:v>21</x:v>
      </x:c>
      <x:c r="Q14" s="2" t="str">
        <x:f>"研"&amp;(INT(O14/12)+1)&amp;"·"&amp;(MOD('时间线'!$C$5-1+O14,12)+1)&amp;"月"</x:f>
        <x:v>研1·7月</x:v>
      </x:c>
      <x:c r="R14" s="2" t="str">
        <x:f>"研"&amp;(INT(P14/12)+1)&amp;"·"&amp;(MOD('时间线'!$C$5-1+P14,12)+1)&amp;"月"</x:f>
        <x:v>研2·6月</x:v>
      </x:c>
      <x:c r="S14" s="2" t="str">
        <x:f>IF(O14-G14&lt;0,"入学前","研"&amp;(INT((O14-G14)/12)+1)&amp;"·"&amp;(MOD('时间线'!$C$5-1+O14-G14,12)+1)&amp;"月")</x:f>
        <x:v>研1·5月</x:v>
      </x:c>
      <x:c r="T14" s="24"/>
      <x:c r="U14" s="11" t="str">
        <x:v>用户提供《2026研究生手册》书24、70、83–85页；PDF15、38、44–45页。</x:v>
      </x:c>
    </x:row>
    <x:row r="15" ht="105" customHeight="1">
      <x:c r="A15" s="2" t="str">
        <x:v>A07</x:v>
      </x:c>
      <x:c r="B15" s="15" t="str">
        <x:v>培养</x:v>
      </x:c>
      <x:c r="C15" s="2" t="str">
        <x:v>专业实践中期检查</x:v>
      </x:c>
      <x:c r="D15" s="4" t="str">
        <x:v>入学</x:v>
      </x:c>
      <x:c r="E15" s="4" t="n">
        <x:v>13</x:v>
      </x:c>
      <x:c r="F15" s="4" t="n">
        <x:v>13</x:v>
      </x:c>
      <x:c r="G15" s="4" t="n">
        <x:v>1</x:v>
      </x:c>
      <x:c r="H15" s="4" t="str">
        <x:v>待确认</x:v>
      </x:c>
      <x:c r="I15" s="4" t="str">
        <x:v>必做</x:v>
      </x:c>
      <x:c r="J15" s="11" t="str">
        <x:v>全日制专硕；按实际进站日调整</x:v>
      </x:c>
      <x:c r="K15" s="11" t="str">
        <x:v>校级：进入实践单位约3个月；图示为A05建议安排的对应位置。</x:v>
      </x:c>
      <x:c r="L15" s="11" t="str">
        <x:v>评价实践任务进度与效果，和论文中期分别留档。若实践起始日改变，应同步修改本行偏移。</x:v>
      </x:c>
      <x:c r="M15" s="11" t="str">
        <x:v>实践阶段报告、双导师沟通记录、调整计划。</x:v>
      </x:c>
      <x:c r="N15" s="11" t="str">
        <x:v>实践开始即设月度记录，不等中期才补写。</x:v>
      </x:c>
      <x:c r="O15" s="2" t="n">
        <x:f>IF(D15="毕业",'时间线'!$C$9+E15,E15)</x:f>
        <x:v>13</x:v>
      </x:c>
      <x:c r="P15" s="2" t="n">
        <x:f>IF(D15="毕业",'时间线'!$C$9+F15,F15)</x:f>
        <x:v>13</x:v>
      </x:c>
      <x:c r="Q15" s="2" t="str">
        <x:f>"研"&amp;(INT(O15/12)+1)&amp;"·"&amp;(MOD('时间线'!$C$5-1+O15,12)+1)&amp;"月"</x:f>
        <x:v>研2·10月</x:v>
      </x:c>
      <x:c r="R15" s="2" t="str">
        <x:f>"研"&amp;(INT(P15/12)+1)&amp;"·"&amp;(MOD('时间线'!$C$5-1+P15,12)+1)&amp;"月"</x:f>
        <x:v>研2·10月</x:v>
      </x:c>
      <x:c r="S15" s="2" t="str">
        <x:f>IF(O15-G15&lt;0,"入学前","研"&amp;(INT((O15-G15)/12)+1)&amp;"·"&amp;(MOD('时间线'!$C$5-1+O15-G15,12)+1)&amp;"月")</x:f>
        <x:v>研2·9月</x:v>
      </x:c>
      <x:c r="T15" s="24"/>
      <x:c r="U15" s="11" t="str">
        <x:v>用户提供《2026研究生手册》书85页，PDF45页。</x:v>
      </x:c>
    </x:row>
    <x:row r="16" ht="105" customHeight="1">
      <x:c r="A16" s="2" t="str">
        <x:v>A21</x:v>
      </x:c>
      <x:c r="B16" s="15" t="str">
        <x:v>培养</x:v>
      </x:c>
      <x:c r="C16" s="2" t="str">
        <x:v>专硕实践结束答辩考核</x:v>
      </x:c>
      <x:c r="D16" s="4" t="str">
        <x:v>入学</x:v>
      </x:c>
      <x:c r="E16" s="4" t="n">
        <x:v>22</x:v>
      </x:c>
      <x:c r="F16" s="4" t="n">
        <x:v>22</x:v>
      </x:c>
      <x:c r="G16" s="4" t="n">
        <x:v>1</x:v>
      </x:c>
      <x:c r="H16" s="4" t="str">
        <x:v>待确认</x:v>
      </x:c>
      <x:c r="I16" s="4" t="str">
        <x:v>必做</x:v>
      </x:c>
      <x:c r="J16" s="11" t="str">
        <x:v>全日制专硕</x:v>
      </x:c>
      <x:c r="K16" s="11" t="str">
        <x:v>校级：实践结束后报告与答辩考核；图示随A05建议结束月份。</x:v>
      </x:c>
      <x:c r="L16" s="11" t="str">
        <x:v>合格及以上方获得学分，实践完成时长不等于已通过考核。结束日期修改时同步重排本行。</x:v>
      </x:c>
      <x:c r="M16" s="11" t="str">
        <x:v>实践报告、校外导师鉴定、成果证据与考核结果。</x:v>
      </x:c>
      <x:c r="N16" s="11" t="str">
        <x:v>结束前2–3周收齐记录与签字，离岗前确认后续材料联系人。</x:v>
      </x:c>
      <x:c r="O16" s="2" t="n">
        <x:f>IF(D16="毕业",'时间线'!$C$9+E16,E16)</x:f>
        <x:v>22</x:v>
      </x:c>
      <x:c r="P16" s="2" t="n">
        <x:f>IF(D16="毕业",'时间线'!$C$9+F16,F16)</x:f>
        <x:v>22</x:v>
      </x:c>
      <x:c r="Q16" s="2" t="str">
        <x:f>"研"&amp;(INT(O16/12)+1)&amp;"·"&amp;(MOD('时间线'!$C$5-1+O16,12)+1)&amp;"月"</x:f>
        <x:v>研2·7月</x:v>
      </x:c>
      <x:c r="R16" s="2" t="str">
        <x:f>"研"&amp;(INT(P16/12)+1)&amp;"·"&amp;(MOD('时间线'!$C$5-1+P16,12)+1)&amp;"月"</x:f>
        <x:v>研2·7月</x:v>
      </x:c>
      <x:c r="S16" s="2" t="str">
        <x:f>IF(O16-G16&lt;0,"入学前","研"&amp;(INT((O16-G16)/12)+1)&amp;"·"&amp;(MOD('时间线'!$C$5-1+O16-G16,12)+1)&amp;"月")</x:f>
        <x:v>研2·6月</x:v>
      </x:c>
      <x:c r="T16" s="24"/>
      <x:c r="U16" s="11" t="str">
        <x:v>用户提供《2026研究生手册》书85页，PDF45页。</x:v>
      </x:c>
    </x:row>
    <x:row r="17" ht="105" customHeight="1">
      <x:c r="A17" s="2" t="str">
        <x:v>A06</x:v>
      </x:c>
      <x:c r="B17" s="15" t="str">
        <x:v>培养</x:v>
      </x:c>
      <x:c r="C17" s="2" t="str">
        <x:v>论文／实践成果中期考核</x:v>
      </x:c>
      <x:c r="D17" s="4" t="str">
        <x:v>入学</x:v>
      </x:c>
      <x:c r="E17" s="4" t="n">
        <x:v>21</x:v>
      </x:c>
      <x:c r="F17" s="4" t="n">
        <x:v>23</x:v>
      </x:c>
      <x:c r="G17" s="4" t="n">
        <x:v>3</x:v>
      </x:c>
      <x:c r="H17" s="4" t="str">
        <x:v>待确认</x:v>
      </x:c>
      <x:c r="I17" s="4" t="str">
        <x:v>必做</x:v>
      </x:c>
      <x:c r="J17" s="11" t="str">
        <x:v>全体硕士</x:v>
      </x:c>
      <x:c r="K17" s="11" t="str">
        <x:v>校级：三年制一般在第5学期开学前；图示研二6–8月为建议，实际依学院通知。</x:v>
      </x:c>
      <x:c r="L17" s="11" t="str">
        <x:v>重点核对研究进展、已有成果、剩余工作及能否按期完成。不要与专业实践中期混为同一项。</x:v>
      </x:c>
      <x:c r="M17" s="11" t="str">
        <x:v>中期报告、阶段数据/结果、计划对照、后续风险与调整。</x:v>
      </x:c>
      <x:c r="N17" s="11" t="str">
        <x:v>提前3个月整理阶段结果，提前1个月由导师检查缺口。</x:v>
      </x:c>
      <x:c r="O17" s="2" t="n">
        <x:f>IF(D17="毕业",'时间线'!$C$9+E17,E17)</x:f>
        <x:v>21</x:v>
      </x:c>
      <x:c r="P17" s="2" t="n">
        <x:f>IF(D17="毕业",'时间线'!$C$9+F17,F17)</x:f>
        <x:v>23</x:v>
      </x:c>
      <x:c r="Q17" s="2" t="str">
        <x:f>"研"&amp;(INT(O17/12)+1)&amp;"·"&amp;(MOD('时间线'!$C$5-1+O17,12)+1)&amp;"月"</x:f>
        <x:v>研2·6月</x:v>
      </x:c>
      <x:c r="R17" s="2" t="str">
        <x:f>"研"&amp;(INT(P17/12)+1)&amp;"·"&amp;(MOD('时间线'!$C$5-1+P17,12)+1)&amp;"月"</x:f>
        <x:v>研2·8月</x:v>
      </x:c>
      <x:c r="S17" s="2" t="str">
        <x:f>IF(O17-G17&lt;0,"入学前","研"&amp;(INT((O17-G17)/12)+1)&amp;"·"&amp;(MOD('时间线'!$C$5-1+O17-G17,12)+1)&amp;"月")</x:f>
        <x:v>研2·3月</x:v>
      </x:c>
      <x:c r="T17" s="24"/>
      <x:c r="U17" s="11" t="str">
        <x:v>用户提供《2026研究生手册》论文书105–106页/PDF55–56页；实践成果书120页/PDF63页。</x:v>
      </x:c>
    </x:row>
    <x:row r="18" ht="105" customHeight="1">
      <x:c r="A18" s="2" t="str">
        <x:v>A08</x:v>
      </x:c>
      <x:c r="B18" s="15" t="str">
        <x:v>培养</x:v>
      </x:c>
      <x:c r="C18" s="2" t="str">
        <x:v>学位成果与课程资格预核</x:v>
      </x:c>
      <x:c r="D18" s="4" t="str">
        <x:v>毕业</x:v>
      </x:c>
      <x:c r="E18" s="4" t="n">
        <x:v>-12</x:v>
      </x:c>
      <x:c r="F18" s="4" t="n">
        <x:v>-10</x:v>
      </x:c>
      <x:c r="G18" s="4" t="n">
        <x:v>0</x:v>
      </x:c>
      <x:c r="H18" s="4" t="str">
        <x:v>待确认</x:v>
      </x:c>
      <x:c r="I18" s="4" t="str">
        <x:v>必做</x:v>
      </x:c>
      <x:c r="J18" s="11" t="str">
        <x:v>全体硕士</x:v>
      </x:c>
      <x:c r="K18" s="11" t="str">
        <x:v>个人建议：至少在毕业前一年预核一次；正式审核按当批通知。</x:v>
      </x:c>
      <x:c r="L18" s="11" t="str">
        <x:v>是否需要论文发表、专利或其他成果，取决于本学位点规则，不能把通用手册理解为统一发表数量。</x:v>
      </x:c>
      <x:c r="M18" s="11" t="str">
        <x:v>本年级成果要求、课程/实践完成证据、缺口清单。</x:v>
      </x:c>
      <x:c r="N18" s="11" t="str">
        <x:v>向学院确认成果认可口径和取得时间，较长周期事项尽早处理。</x:v>
      </x:c>
      <x:c r="O18" s="2" t="n">
        <x:f>IF(D18="毕业",'时间线'!$C$9+E18,E18)</x:f>
        <x:v>21</x:v>
      </x:c>
      <x:c r="P18" s="2" t="n">
        <x:f>IF(D18="毕业",'时间线'!$C$9+F18,F18)</x:f>
        <x:v>23</x:v>
      </x:c>
      <x:c r="Q18" s="2" t="str">
        <x:f>"研"&amp;(INT(O18/12)+1)&amp;"·"&amp;(MOD('时间线'!$C$5-1+O18,12)+1)&amp;"月"</x:f>
        <x:v>研2·6月</x:v>
      </x:c>
      <x:c r="R18" s="2" t="str">
        <x:f>"研"&amp;(INT(P18/12)+1)&amp;"·"&amp;(MOD('时间线'!$C$5-1+P18,12)+1)&amp;"月"</x:f>
        <x:v>研2·8月</x:v>
      </x:c>
      <x:c r="S18" s="2" t="str">
        <x:f>IF(O18-G18&lt;0,"入学前","研"&amp;(INT((O18-G18)/12)+1)&amp;"·"&amp;(MOD('时间线'!$C$5-1+O18-G18,12)+1)&amp;"月")</x:f>
        <x:v>研2·6月</x:v>
      </x:c>
      <x:c r="T18" s="24"/>
      <x:c r="U18" s="11" t="str">
        <x:v>用户提供《2026研究生手册》书145–146页/PDF75–76页；正式申请程序见书107页/PDF56页。</x:v>
      </x:c>
    </x:row>
    <x:row r="19" ht="105" customHeight="1">
      <x:c r="A19" s="2" t="str">
        <x:v>A09</x:v>
      </x:c>
      <x:c r="B19" s="15" t="str">
        <x:v>培养</x:v>
      </x:c>
      <x:c r="C19" s="2" t="str">
        <x:v>研究收尾与论文完整初稿</x:v>
      </x:c>
      <x:c r="D19" s="4" t="str">
        <x:v>毕业</x:v>
      </x:c>
      <x:c r="E19" s="4" t="n">
        <x:v>-8</x:v>
      </x:c>
      <x:c r="F19" s="4" t="n">
        <x:v>-5</x:v>
      </x:c>
      <x:c r="G19" s="4" t="n">
        <x:v>2</x:v>
      </x:c>
      <x:c r="H19" s="4" t="str">
        <x:v>待确认</x:v>
      </x:c>
      <x:c r="I19" s="4" t="str">
        <x:v>必做</x:v>
      </x:c>
      <x:c r="J19" s="11" t="str">
        <x:v>全体硕士</x:v>
      </x:c>
      <x:c r="K19" s="11" t="str">
        <x:v>个人建议：毕业前5个月形成完整初稿；不替代答辩前2个月硬要求。</x:v>
      </x:c>
      <x:c r="L19" s="11" t="str">
        <x:v>先完成论证闭环，再逐轮修改结构、数据和表达。为秋招与导师修改轮次留出余量。</x:v>
      </x:c>
      <x:c r="M19" s="11" t="str">
        <x:v>完整论文初稿、图表和数据版本、引用核对记录。</x:v>
      </x:c>
      <x:c r="N19" s="11" t="str">
        <x:v>毕业前10个月起建立逐章目录；重要实验别拖到最后学期。</x:v>
      </x:c>
      <x:c r="O19" s="2" t="n">
        <x:f>IF(D19="毕业",'时间线'!$C$9+E19,E19)</x:f>
        <x:v>25</x:v>
      </x:c>
      <x:c r="P19" s="2" t="n">
        <x:f>IF(D19="毕业",'时间线'!$C$9+F19,F19)</x:f>
        <x:v>28</x:v>
      </x:c>
      <x:c r="Q19" s="2" t="str">
        <x:f>"研"&amp;(INT(O19/12)+1)&amp;"·"&amp;(MOD('时间线'!$C$5-1+O19,12)+1)&amp;"月"</x:f>
        <x:v>研3·10月</x:v>
      </x:c>
      <x:c r="R19" s="2" t="str">
        <x:f>"研"&amp;(INT(P19/12)+1)&amp;"·"&amp;(MOD('时间线'!$C$5-1+P19,12)+1)&amp;"月"</x:f>
        <x:v>研3·1月</x:v>
      </x:c>
      <x:c r="S19" s="2" t="str">
        <x:f>IF(O19-G19&lt;0,"入学前","研"&amp;(INT((O19-G19)/12)+1)&amp;"·"&amp;(MOD('时间线'!$C$5-1+O19-G19,12)+1)&amp;"月")</x:f>
        <x:v>研2·8月</x:v>
      </x:c>
      <x:c r="T19" s="24"/>
      <x:c r="U19" s="11" t="str">
        <x:v>用户提供《2026研究生手册》书98页规定答辩前2个月提交导师；图示初稿时间为提前缓冲。</x:v>
      </x:c>
    </x:row>
    <x:row r="20" ht="105" customHeight="1">
      <x:c r="A20" s="2" t="str">
        <x:v>A10</x:v>
      </x:c>
      <x:c r="B20" s="15" t="str">
        <x:v>培养</x:v>
      </x:c>
      <x:c r="C20" s="2" t="str">
        <x:v>完成论文并提交导师审阅</x:v>
      </x:c>
      <x:c r="D20" s="4" t="str">
        <x:v>毕业</x:v>
      </x:c>
      <x:c r="E20" s="4" t="n">
        <x:v>-4</x:v>
      </x:c>
      <x:c r="F20" s="4" t="n">
        <x:v>-4</x:v>
      </x:c>
      <x:c r="G20" s="4" t="n">
        <x:v>1</x:v>
      </x:c>
      <x:c r="H20" s="4" t="str">
        <x:v>待确认</x:v>
      </x:c>
      <x:c r="I20" s="4" t="str">
        <x:v>必做</x:v>
      </x:c>
      <x:c r="J20" s="11" t="str">
        <x:v>全体硕士</x:v>
      </x:c>
      <x:c r="K20" s="11" t="str">
        <x:v>硬要求：预计答辩前2个月完成并交导师；导师10日内审查。图示提前至毕业前4个月。</x:v>
      </x:c>
      <x:c r="L20" s="11" t="str">
        <x:v>如预计答辩日期改变，应重新倒推至少2个月。本行以通常毕业前1个月答辩加1个月缓冲展示。</x:v>
      </x:c>
      <x:c r="M20" s="11" t="str">
        <x:v>完整论文或实践成果、导师审查意见、修改版。</x:v>
      </x:c>
      <x:c r="N20" s="11" t="str">
        <x:v>先拿到学院答辩批次日期；至少比硬要求再早2–4周交导师。</x:v>
      </x:c>
      <x:c r="O20" s="2" t="n">
        <x:f>IF(D20="毕业",'时间线'!$C$9+E20,E20)</x:f>
        <x:v>29</x:v>
      </x:c>
      <x:c r="P20" s="2" t="n">
        <x:f>IF(D20="毕业",'时间线'!$C$9+F20,F20)</x:f>
        <x:v>29</x:v>
      </x:c>
      <x:c r="Q20" s="2" t="str">
        <x:f>"研"&amp;(INT(O20/12)+1)&amp;"·"&amp;(MOD('时间线'!$C$5-1+O20,12)+1)&amp;"月"</x:f>
        <x:v>研3·2月</x:v>
      </x:c>
      <x:c r="R20" s="2" t="str">
        <x:f>"研"&amp;(INT(P20/12)+1)&amp;"·"&amp;(MOD('时间线'!$C$5-1+P20,12)+1)&amp;"月"</x:f>
        <x:v>研3·2月</x:v>
      </x:c>
      <x:c r="S20" s="2" t="str">
        <x:f>IF(O20-G20&lt;0,"入学前","研"&amp;(INT((O20-G20)/12)+1)&amp;"·"&amp;(MOD('时间线'!$C$5-1+O20-G20,12)+1)&amp;"月")</x:f>
        <x:v>研3·1月</x:v>
      </x:c>
      <x:c r="T20" s="24"/>
      <x:c r="U20" s="11" t="str">
        <x:v>用户提供《2026研究生手册》学位授予工作细则第17条，书98页/PDF52页。</x:v>
      </x:c>
    </x:row>
    <x:row r="21" ht="105" customHeight="1">
      <x:c r="A21" s="2" t="str">
        <x:v>A11</x:v>
      </x:c>
      <x:c r="B21" s="15" t="str">
        <x:v>培养</x:v>
      </x:c>
      <x:c r="C21" s="2" t="str">
        <x:v>预答辩与学位申请资格审查</x:v>
      </x:c>
      <x:c r="D21" s="4" t="str">
        <x:v>毕业</x:v>
      </x:c>
      <x:c r="E21" s="4" t="n">
        <x:v>-4</x:v>
      </x:c>
      <x:c r="F21" s="4" t="n">
        <x:v>-3</x:v>
      </x:c>
      <x:c r="G21" s="4" t="n">
        <x:v>1</x:v>
      </x:c>
      <x:c r="H21" s="4" t="str">
        <x:v>待确认</x:v>
      </x:c>
      <x:c r="I21" s="4" t="str">
        <x:v>必做</x:v>
      </x:c>
      <x:c r="J21" s="11" t="str">
        <x:v>全体硕士</x:v>
      </x:c>
      <x:c r="K21" s="11" t="str">
        <x:v>校级要求先预答辩，实际日期及受理批次以学院通知为准。图示月份为建议，实际依学院通知。</x:v>
      </x:c>
      <x:c r="L21" s="11" t="str">
        <x:v>导师认可后参加预答辩；通过后申请学位并审查资格。批次申请截止起一般15日内决定是否受理，并非个人提交后立即获批。15日为分委会一般办理安排，不是所有审批完成的保证期限。</x:v>
      </x:c>
      <x:c r="M21" s="11" t="str">
        <x:v>预答辩记录、修改说明、学位申请和培养完成证明。</x:v>
      </x:c>
      <x:c r="N21" s="11" t="str">
        <x:v>提前确认系统入口、材料模板、专家安排及预登记时间。</x:v>
      </x:c>
      <x:c r="O21" s="2" t="n">
        <x:f>IF(D21="毕业",'时间线'!$C$9+E21,E21)</x:f>
        <x:v>29</x:v>
      </x:c>
      <x:c r="P21" s="2" t="n">
        <x:f>IF(D21="毕业",'时间线'!$C$9+F21,F21)</x:f>
        <x:v>30</x:v>
      </x:c>
      <x:c r="Q21" s="2" t="str">
        <x:f>"研"&amp;(INT(O21/12)+1)&amp;"·"&amp;(MOD('时间线'!$C$5-1+O21,12)+1)&amp;"月"</x:f>
        <x:v>研3·2月</x:v>
      </x:c>
      <x:c r="R21" s="2" t="str">
        <x:f>"研"&amp;(INT(P21/12)+1)&amp;"·"&amp;(MOD('时间线'!$C$5-1+P21,12)+1)&amp;"月"</x:f>
        <x:v>研3·3月</x:v>
      </x:c>
      <x:c r="S21" s="2" t="str">
        <x:f>IF(O21-G21&lt;0,"入学前","研"&amp;(INT((O21-G21)/12)+1)&amp;"·"&amp;(MOD('时间线'!$C$5-1+O21-G21,12)+1)&amp;"月")</x:f>
        <x:v>研3·1月</x:v>
      </x:c>
      <x:c r="T21" s="24"/>
      <x:c r="U21" s="11" t="str">
        <x:v>用户提供《2026研究生手册》书98、107页/PDF52、56页；实践成果书122–123页/PDF64页。</x:v>
      </x:c>
    </x:row>
    <x:row r="22" ht="105" customHeight="1">
      <x:c r="A22" s="2" t="str">
        <x:v>A12</x:v>
      </x:c>
      <x:c r="B22" s="15" t="str">
        <x:v>培养</x:v>
      </x:c>
      <x:c r="C22" s="2" t="str">
        <x:v>送审前查重及规范检查</x:v>
      </x:c>
      <x:c r="D22" s="4" t="str">
        <x:v>毕业</x:v>
      </x:c>
      <x:c r="E22" s="4" t="n">
        <x:v>-3</x:v>
      </x:c>
      <x:c r="F22" s="4" t="n">
        <x:v>-3</x:v>
      </x:c>
      <x:c r="G22" s="4" t="n">
        <x:v>1</x:v>
      </x:c>
      <x:c r="H22" s="4" t="str">
        <x:v>待确认</x:v>
      </x:c>
      <x:c r="I22" s="4" t="str">
        <x:v>必做</x:v>
      </x:c>
      <x:c r="J22" s="11" t="str">
        <x:v>全体硕士</x:v>
      </x:c>
      <x:c r="K22" s="11" t="str">
        <x:v>校级：送审前检测。建议预答辩修改后按学院安排送检；图示月份为建议。</x:v>
      </x:c>
      <x:c r="L22" s="11" t="str">
        <x:v>每篇正式检测一次，检测稿应与拟送审稿同版。手册未设全校统一重复率阈值；按学院要求送检，保留引用、匿名和版式核查时间。</x:v>
      </x:c>
      <x:c r="M22" s="11" t="str">
        <x:v>规范的送审版本、检测结果、导师确认与相关表单。</x:v>
      </x:c>
      <x:c r="N22" s="11" t="str">
        <x:v>平时保持引用与数据记录；送审前一次完成匿名、模板、目录及参考文献检查。</x:v>
      </x:c>
      <x:c r="O22" s="2" t="n">
        <x:f>IF(D22="毕业",'时间线'!$C$9+E22,E22)</x:f>
        <x:v>30</x:v>
      </x:c>
      <x:c r="P22" s="2" t="n">
        <x:f>IF(D22="毕业",'时间线'!$C$9+F22,F22)</x:f>
        <x:v>30</x:v>
      </x:c>
      <x:c r="Q22" s="2" t="str">
        <x:f>"研"&amp;(INT(O22/12)+1)&amp;"·"&amp;(MOD('时间线'!$C$5-1+O22,12)+1)&amp;"月"</x:f>
        <x:v>研3·3月</x:v>
      </x:c>
      <x:c r="R22" s="2" t="str">
        <x:f>"研"&amp;(INT(P22/12)+1)&amp;"·"&amp;(MOD('时间线'!$C$5-1+P22,12)+1)&amp;"月"</x:f>
        <x:v>研3·3月</x:v>
      </x:c>
      <x:c r="S22" s="2" t="str">
        <x:f>IF(O22-G22&lt;0,"入学前","研"&amp;(INT((O22-G22)/12)+1)&amp;"·"&amp;(MOD('时间线'!$C$5-1+O22-G22,12)+1)&amp;"月")</x:f>
        <x:v>研3·2月</x:v>
      </x:c>
      <x:c r="T22" s="24"/>
      <x:c r="U22" s="11" t="str">
        <x:v>用户提供《2026研究生手册》书136–137页/PDF71页。</x:v>
      </x:c>
    </x:row>
    <x:row r="23" ht="105" customHeight="1">
      <x:c r="A23" s="2" t="str">
        <x:v>A13</x:v>
      </x:c>
      <x:c r="B23" s="15" t="str">
        <x:v>培养</x:v>
      </x:c>
      <x:c r="C23" s="2" t="str">
        <x:v>论文送审／专家评阅</x:v>
      </x:c>
      <x:c r="D23" s="4" t="str">
        <x:v>毕业</x:v>
      </x:c>
      <x:c r="E23" s="4" t="n">
        <x:v>-3</x:v>
      </x:c>
      <x:c r="F23" s="4" t="n">
        <x:v>-2</x:v>
      </x:c>
      <x:c r="G23" s="4" t="n">
        <x:v>1</x:v>
      </x:c>
      <x:c r="H23" s="4" t="str">
        <x:v>待确认</x:v>
      </x:c>
      <x:c r="I23" s="4" t="str">
        <x:v>必做</x:v>
      </x:c>
      <x:c r="J23" s="11" t="str">
        <x:v>普通硕士按学院流程；特殊类别按学位办流程</x:v>
      </x:c>
      <x:c r="K23" s="11" t="str">
        <x:v>校级：一般硕士由学院定程序；学位办组织评阅者须答辩前35日送达材料。图示月份为建议，实际依学院通知。</x:v>
      </x:c>
      <x:c r="L23" s="11" t="str">
        <x:v>不能把35日当全体硕士统一评审周期。跟踪培养、提前毕业、博转硕等须核对具体流程；送审结果须全部返回且符合条件。是否匿名盲审按适用学院或学位办规则。</x:v>
      </x:c>
      <x:c r="M23" s="11" t="str">
        <x:v>合规送审稿、申请表、导师/学院审核、送审记录。</x:v>
      </x:c>
      <x:c r="N23" s="11" t="str">
        <x:v>建议按学院常规周期再留2–4周机动；先确认是否属于学位办送审类别。</x:v>
      </x:c>
      <x:c r="O23" s="2" t="n">
        <x:f>IF(D23="毕业",'时间线'!$C$9+E23,E23)</x:f>
        <x:v>30</x:v>
      </x:c>
      <x:c r="P23" s="2" t="n">
        <x:f>IF(D23="毕业",'时间线'!$C$9+F23,F23)</x:f>
        <x:v>31</x:v>
      </x:c>
      <x:c r="Q23" s="2" t="str">
        <x:f>"研"&amp;(INT(O23/12)+1)&amp;"·"&amp;(MOD('时间线'!$C$5-1+O23,12)+1)&amp;"月"</x:f>
        <x:v>研3·3月</x:v>
      </x:c>
      <x:c r="R23" s="2" t="str">
        <x:f>"研"&amp;(INT(P23/12)+1)&amp;"·"&amp;(MOD('时间线'!$C$5-1+P23,12)+1)&amp;"月"</x:f>
        <x:v>研3·4月</x:v>
      </x:c>
      <x:c r="S23" s="2" t="str">
        <x:f>IF(O23-G23&lt;0,"入学前","研"&amp;(INT((O23-G23)/12)+1)&amp;"·"&amp;(MOD('时间线'!$C$5-1+O23-G23,12)+1)&amp;"月")</x:f>
        <x:v>研3·2月</x:v>
      </x:c>
      <x:c r="T23" s="24"/>
      <x:c r="U23" s="11" t="str">
        <x:v>用户提供《2026研究生手册》书108页/PDF57页，答辩与学位申请规则。</x:v>
      </x:c>
    </x:row>
    <x:row r="24" ht="105" customHeight="1">
      <x:c r="A24" s="2" t="str">
        <x:v>A14</x:v>
      </x:c>
      <x:c r="B24" s="15" t="str">
        <x:v>培养</x:v>
      </x:c>
      <x:c r="C24" s="2" t="str">
        <x:v>评阅意见处理与答辩审批</x:v>
      </x:c>
      <x:c r="D24" s="4" t="str">
        <x:v>毕业</x:v>
      </x:c>
      <x:c r="E24" s="4" t="n">
        <x:v>-2</x:v>
      </x:c>
      <x:c r="F24" s="4" t="n">
        <x:v>-1</x:v>
      </x:c>
      <x:c r="G24" s="4" t="n">
        <x:v>0</x:v>
      </x:c>
      <x:c r="H24" s="4" t="str">
        <x:v>待确认</x:v>
      </x:c>
      <x:c r="I24" s="4" t="str">
        <x:v>必做</x:v>
      </x:c>
      <x:c r="J24" s="11" t="str">
        <x:v>全体硕士</x:v>
      </x:c>
      <x:c r="K24" s="11" t="str">
        <x:v>先收齐符合条件的评阅结果，完成所需修改/复审后再申请答辩。图示月份为建议，实际依学院通知。</x:v>
      </x:c>
      <x:c r="L24" s="11" t="str">
        <x:v>重大修改或不同意答辩可能改变整个毕业批次，不能假定普通缓冲足以解决；按反馈等级及当年规则处理。</x:v>
      </x:c>
      <x:c r="M24" s="11" t="str">
        <x:v>逐条回复、修改对照、导师确认、答辩审批材料。</x:v>
      </x:c>
      <x:c r="N24" s="11" t="str">
        <x:v>收到反馈当天分类问题，与导师确认是否需复审和最早可答辩时间。</x:v>
      </x:c>
      <x:c r="O24" s="2" t="n">
        <x:f>IF(D24="毕业",'时间线'!$C$9+E24,E24)</x:f>
        <x:v>31</x:v>
      </x:c>
      <x:c r="P24" s="2" t="n">
        <x:f>IF(D24="毕业",'时间线'!$C$9+F24,F24)</x:f>
        <x:v>32</x:v>
      </x:c>
      <x:c r="Q24" s="2" t="str">
        <x:f>"研"&amp;(INT(O24/12)+1)&amp;"·"&amp;(MOD('时间线'!$C$5-1+O24,12)+1)&amp;"月"</x:f>
        <x:v>研3·4月</x:v>
      </x:c>
      <x:c r="R24" s="2" t="str">
        <x:f>"研"&amp;(INT(P24/12)+1)&amp;"·"&amp;(MOD('时间线'!$C$5-1+P24,12)+1)&amp;"月"</x:f>
        <x:v>研3·5月</x:v>
      </x:c>
      <x:c r="S24" s="2" t="str">
        <x:f>IF(O24-G24&lt;0,"入学前","研"&amp;(INT((O24-G24)/12)+1)&amp;"·"&amp;(MOD('时间线'!$C$5-1+O24-G24,12)+1)&amp;"月")</x:f>
        <x:v>研3·4月</x:v>
      </x:c>
      <x:c r="T24" s="24"/>
      <x:c r="U24" s="11" t="str">
        <x:v>用户提供《2026研究生手册》书108–109页/PDF57页及评阅结果处理条款。</x:v>
      </x:c>
    </x:row>
    <x:row r="25" ht="105" customHeight="1">
      <x:c r="A25" s="2" t="str">
        <x:v>A15</x:v>
      </x:c>
      <x:c r="B25" s="15" t="str">
        <x:v>培养</x:v>
      </x:c>
      <x:c r="C25" s="2" t="str">
        <x:v>正式答辩</x:v>
      </x:c>
      <x:c r="D25" s="4" t="str">
        <x:v>毕业</x:v>
      </x:c>
      <x:c r="E25" s="4" t="n">
        <x:v>-1</x:v>
      </x:c>
      <x:c r="F25" s="4" t="n">
        <x:v>-1</x:v>
      </x:c>
      <x:c r="G25" s="4" t="n">
        <x:v>1</x:v>
      </x:c>
      <x:c r="H25" s="4" t="str">
        <x:v>待确认</x:v>
      </x:c>
      <x:c r="I25" s="4" t="str">
        <x:v>必做</x:v>
      </x:c>
      <x:c r="J25" s="11" t="str">
        <x:v>全体硕士</x:v>
      </x:c>
      <x:c r="K25" s="11" t="str">
        <x:v>校级：三年制在第6学期答辩；图示研三5月为建议，实际依学院当批通知。</x:v>
      </x:c>
      <x:c r="L25" s="11" t="str">
        <x:v>必须完成前序培养和学位申请程序。学校/学院批次通知决定可用日期，不要单凭毕业月份推定。</x:v>
      </x:c>
      <x:c r="M25" s="11" t="str">
        <x:v>答辩PPT、论文终稿候选版、答辩记录与决议。</x:v>
      </x:c>
      <x:c r="N25" s="11" t="str">
        <x:v>提前2–3周模拟答辩；准备创新点、证据和局限的简洁说明。</x:v>
      </x:c>
      <x:c r="O25" s="2" t="n">
        <x:f>IF(D25="毕业",'时间线'!$C$9+E25,E25)</x:f>
        <x:v>32</x:v>
      </x:c>
      <x:c r="P25" s="2" t="n">
        <x:f>IF(D25="毕业",'时间线'!$C$9+F25,F25)</x:f>
        <x:v>32</x:v>
      </x:c>
      <x:c r="Q25" s="2" t="str">
        <x:f>"研"&amp;(INT(O25/12)+1)&amp;"·"&amp;(MOD('时间线'!$C$5-1+O25,12)+1)&amp;"月"</x:f>
        <x:v>研3·5月</x:v>
      </x:c>
      <x:c r="R25" s="2" t="str">
        <x:f>"研"&amp;(INT(P25/12)+1)&amp;"·"&amp;(MOD('时间线'!$C$5-1+P25,12)+1)&amp;"月"</x:f>
        <x:v>研3·5月</x:v>
      </x:c>
      <x:c r="S25" s="2" t="str">
        <x:f>IF(O25-G25&lt;0,"入学前","研"&amp;(INT((O25-G25)/12)+1)&amp;"·"&amp;(MOD('时间线'!$C$5-1+O25-G25,12)+1)&amp;"月")</x:f>
        <x:v>研3·4月</x:v>
      </x:c>
      <x:c r="T25" s="24"/>
      <x:c r="U25" s="11" t="str">
        <x:v>用户提供《2026研究生手册》书23–24页及书143页起答辩程序；PDF14–15、74页起。</x:v>
      </x:c>
    </x:row>
    <x:row r="26" ht="105" customHeight="1">
      <x:c r="A26" s="2" t="str">
        <x:v>A16</x:v>
      </x:c>
      <x:c r="B26" s="15" t="str">
        <x:v>培养</x:v>
      </x:c>
      <x:c r="C26" s="2" t="str">
        <x:v>答辩后修改与学位材料归档</x:v>
      </x:c>
      <x:c r="D26" s="4" t="str">
        <x:v>毕业</x:v>
      </x:c>
      <x:c r="E26" s="4" t="n">
        <x:v>-1</x:v>
      </x:c>
      <x:c r="F26" s="4" t="n">
        <x:v>0</x:v>
      </x:c>
      <x:c r="G26" s="4" t="n">
        <x:v>0</x:v>
      </x:c>
      <x:c r="H26" s="4" t="str">
        <x:v>待确认</x:v>
      </x:c>
      <x:c r="I26" s="4" t="str">
        <x:v>必做</x:v>
      </x:c>
      <x:c r="J26" s="11" t="str">
        <x:v>全体硕士</x:v>
      </x:c>
      <x:c r="K26" s="11" t="str">
        <x:v>以答辩意见和本批次材料截止为准。</x:v>
      </x:c>
      <x:c r="L26" s="11" t="str">
        <x:v>通过答辩后仍需修改、导师审核、定稿及提交归档材料。答辩通过不等于已经授予学位。</x:v>
      </x:c>
      <x:c r="M26" s="11" t="str">
        <x:v>定稿论文、修改确认、签字材料、图书馆提交及归档清单。</x:v>
      </x:c>
      <x:c r="N26" s="11" t="str">
        <x:v>答辩前先下载归档清单，答辩后逐条销项。</x:v>
      </x:c>
      <x:c r="O26" s="2" t="n">
        <x:f>IF(D26="毕业",'时间线'!$C$9+E26,E26)</x:f>
        <x:v>32</x:v>
      </x:c>
      <x:c r="P26" s="2" t="n">
        <x:f>IF(D26="毕业",'时间线'!$C$9+F26,F26)</x:f>
        <x:v>33</x:v>
      </x:c>
      <x:c r="Q26" s="2" t="str">
        <x:f>"研"&amp;(INT(O26/12)+1)&amp;"·"&amp;(MOD('时间线'!$C$5-1+O26,12)+1)&amp;"月"</x:f>
        <x:v>研3·5月</x:v>
      </x:c>
      <x:c r="R26" s="2" t="str">
        <x:f>"研"&amp;(INT(P26/12)+1)&amp;"·"&amp;(MOD('时间线'!$C$5-1+P26,12)+1)&amp;"月"</x:f>
        <x:v>研3·6月</x:v>
      </x:c>
      <x:c r="S26" s="2" t="str">
        <x:f>IF(O26-G26&lt;0,"入学前","研"&amp;(INT((O26-G26)/12)+1)&amp;"·"&amp;(MOD('时间线'!$C$5-1+O26-G26,12)+1)&amp;"月")</x:f>
        <x:v>研3·5月</x:v>
      </x:c>
      <x:c r="T26" s="24"/>
      <x:c r="U26" s="11" t="str">
        <x:v>用户提供《2026研究生手册》书112、118页/PDF59、62页；书100–101页/PDF53页。</x:v>
      </x:c>
    </x:row>
    <x:row r="27" ht="105" customHeight="1">
      <x:c r="A27" s="2" t="str">
        <x:v>A17</x:v>
      </x:c>
      <x:c r="B27" s="15" t="str">
        <x:v>培养</x:v>
      </x:c>
      <x:c r="C27" s="2" t="str">
        <x:v>学位审议、毕业与离校</x:v>
      </x:c>
      <x:c r="D27" s="4" t="str">
        <x:v>毕业</x:v>
      </x:c>
      <x:c r="E27" s="4" t="n">
        <x:v>0</x:v>
      </x:c>
      <x:c r="F27" s="4" t="n">
        <x:v>0</x:v>
      </x:c>
      <x:c r="G27" s="4" t="n">
        <x:v>1</x:v>
      </x:c>
      <x:c r="H27" s="4" t="str">
        <x:v>待确认</x:v>
      </x:c>
      <x:c r="I27" s="4" t="str">
        <x:v>必做</x:v>
      </x:c>
      <x:c r="J27" s="11" t="str">
        <x:v>全体硕士</x:v>
      </x:c>
      <x:c r="K27" s="11" t="str">
        <x:v>实际学位评定、证书发放和离校日期另行通知。</x:v>
      </x:c>
      <x:c r="L27" s="11" t="str">
        <x:v>学院分委会和校学位评定程序须完成。与用人单位确认毕业证、学位证取得和入职的衔接。</x:v>
      </x:c>
      <x:c r="M27" s="11" t="str">
        <x:v>毕业与学位信息核对、离校手续、档案去向和入职材料。</x:v>
      </x:c>
      <x:c r="N27" s="11" t="str">
        <x:v>提前1个月检查证件信息、档案与就业去向登记。</x:v>
      </x:c>
      <x:c r="O27" s="2" t="n">
        <x:f>IF(D27="毕业",'时间线'!$C$9+E27,E27)</x:f>
        <x:v>33</x:v>
      </x:c>
      <x:c r="P27" s="2" t="n">
        <x:f>IF(D27="毕业",'时间线'!$C$9+F27,F27)</x:f>
        <x:v>33</x:v>
      </x:c>
      <x:c r="Q27" s="2" t="str">
        <x:f>"研"&amp;(INT(O27/12)+1)&amp;"·"&amp;(MOD('时间线'!$C$5-1+O27,12)+1)&amp;"月"</x:f>
        <x:v>研3·6月</x:v>
      </x:c>
      <x:c r="R27" s="2" t="str">
        <x:f>"研"&amp;(INT(P27/12)+1)&amp;"·"&amp;(MOD('时间线'!$C$5-1+P27,12)+1)&amp;"月"</x:f>
        <x:v>研3·6月</x:v>
      </x:c>
      <x:c r="S27" s="2" t="str">
        <x:f>IF(O27-G27&lt;0,"入学前","研"&amp;(INT((O27-G27)/12)+1)&amp;"·"&amp;(MOD('时间线'!$C$5-1+O27-G27,12)+1)&amp;"月")</x:f>
        <x:v>研3·5月</x:v>
      </x:c>
      <x:c r="T27" s="24"/>
      <x:c r="U27" s="11" t="str">
        <x:v>用户提供《2026研究生手册》书100–101页/PDF53页；书112、118页/PDF59、62页；日期见当批通知。</x:v>
      </x:c>
    </x:row>
    <x:row r="28" ht="105" customHeight="1">
      <x:c r="A28" s="2" t="str">
        <x:v>B01</x:v>
      </x:c>
      <x:c r="B28" s="17" t="str">
        <x:v>就业</x:v>
      </x:c>
      <x:c r="C28" s="2" t="str">
        <x:v>岗位方向与能力差距梳理</x:v>
      </x:c>
      <x:c r="D28" s="4" t="str">
        <x:v>入学</x:v>
      </x:c>
      <x:c r="E28" s="4" t="n">
        <x:v>1</x:v>
      </x:c>
      <x:c r="F28" s="4" t="n">
        <x:v>5</x:v>
      </x:c>
      <x:c r="G28" s="4" t="n">
        <x:v>0</x:v>
      </x:c>
      <x:c r="H28" s="4" t="str">
        <x:v>待确认</x:v>
      </x:c>
      <x:c r="I28" s="4" t="str">
        <x:v>优先</x:v>
      </x:c>
      <x:c r="J28" s="11" t="str">
        <x:v>所有求职方向；先调研再确定</x:v>
      </x:c>
      <x:c r="K28" s="11" t="str">
        <x:v>个人建议窗口。</x:v>
      </x:c>
      <x:c r="L28" s="11" t="str">
        <x:v>选2个主攻岗位方向和1个备选，依据真实招聘要求决定项目、技能和证书。</x:v>
      </x:c>
      <x:c r="M28" s="11" t="str">
        <x:v>岗位需求表、简历初稿、技能差距清单。</x:v>
      </x:c>
      <x:c r="N28" s="11" t="str">
        <x:v>先看20个目标岗位，识别重复要求，不按证书数量规划。</x:v>
      </x:c>
      <x:c r="O28" s="2" t="n">
        <x:f>IF(D28="毕业",'时间线'!$C$9+E28,E28)</x:f>
        <x:v>1</x:v>
      </x:c>
      <x:c r="P28" s="2" t="n">
        <x:f>IF(D28="毕业",'时间线'!$C$9+F28,F28)</x:f>
        <x:v>5</x:v>
      </x:c>
      <x:c r="Q28" s="2" t="str">
        <x:f>"研"&amp;(INT(O28/12)+1)&amp;"·"&amp;(MOD('时间线'!$C$5-1+O28,12)+1)&amp;"月"</x:f>
        <x:v>研1·10月</x:v>
      </x:c>
      <x:c r="R28" s="2" t="str">
        <x:f>"研"&amp;(INT(P28/12)+1)&amp;"·"&amp;(MOD('时间线'!$C$5-1+P28,12)+1)&amp;"月"</x:f>
        <x:v>研1·2月</x:v>
      </x:c>
      <x:c r="S28" s="2" t="str">
        <x:f>IF(O28-G28&lt;0,"入学前","研"&amp;(INT((O28-G28)/12)+1)&amp;"·"&amp;(MOD('时间线'!$C$5-1+O28-G28,12)+1)&amp;"月")</x:f>
        <x:v>研1·10月</x:v>
      </x:c>
      <x:c r="T28" s="24"/>
      <x:c r="U28" s="11" t="str">
        <x:v>个人规划建议；行业与目标岗位待用户确认。</x:v>
      </x:c>
    </x:row>
    <x:row r="29" ht="105" customHeight="1">
      <x:c r="A29" s="2" t="str">
        <x:v>B02</x:v>
      </x:c>
      <x:c r="B29" s="17" t="str">
        <x:v>就业</x:v>
      </x:c>
      <x:c r="C29" s="2" t="str">
        <x:v>项目成果与面试素材沉淀</x:v>
      </x:c>
      <x:c r="D29" s="4" t="str">
        <x:v>入学</x:v>
      </x:c>
      <x:c r="E29" s="4" t="n">
        <x:v>3</x:v>
      </x:c>
      <x:c r="F29" s="4" t="n">
        <x:v>11</x:v>
      </x:c>
      <x:c r="G29" s="4" t="n">
        <x:v>0</x:v>
      </x:c>
      <x:c r="H29" s="4" t="str">
        <x:v>待确认</x:v>
      </x:c>
      <x:c r="I29" s="4" t="str">
        <x:v>优先</x:v>
      </x:c>
      <x:c r="J29" s="11" t="str">
        <x:v>计划就业者</x:v>
      </x:c>
      <x:c r="K29" s="11" t="str">
        <x:v>个人建议；贯穿研究过程。</x:v>
      </x:c>
      <x:c r="L29" s="11" t="str">
        <x:v>把可公开的科研/实践成果改写成问题、个人行动、结果证据。涉及保密内容须先确认可展示范围。</x:v>
      </x:c>
      <x:c r="M29" s="11" t="str">
        <x:v>岗位版项目经历、代码/作品集或案例、结果指标。</x:v>
      </x:c>
      <x:c r="N29" s="11" t="str">
        <x:v>每月更新一次成果记录，保留个人贡献和可验证证据。</x:v>
      </x:c>
      <x:c r="O29" s="2" t="n">
        <x:f>IF(D29="毕业",'时间线'!$C$9+E29,E29)</x:f>
        <x:v>3</x:v>
      </x:c>
      <x:c r="P29" s="2" t="n">
        <x:f>IF(D29="毕业",'时间线'!$C$9+F29,F29)</x:f>
        <x:v>11</x:v>
      </x:c>
      <x:c r="Q29" s="2" t="str">
        <x:f>"研"&amp;(INT(O29/12)+1)&amp;"·"&amp;(MOD('时间线'!$C$5-1+O29,12)+1)&amp;"月"</x:f>
        <x:v>研1·12月</x:v>
      </x:c>
      <x:c r="R29" s="2" t="str">
        <x:f>"研"&amp;(INT(P29/12)+1)&amp;"·"&amp;(MOD('时间线'!$C$5-1+P29,12)+1)&amp;"月"</x:f>
        <x:v>研1·8月</x:v>
      </x:c>
      <x:c r="S29" s="2" t="str">
        <x:f>IF(O29-G29&lt;0,"入学前","研"&amp;(INT((O29-G29)/12)+1)&amp;"·"&amp;(MOD('时间线'!$C$5-1+O29-G29,12)+1)&amp;"月")</x:f>
        <x:v>研1·12月</x:v>
      </x:c>
      <x:c r="T29" s="24"/>
      <x:c r="U29" s="11" t="str">
        <x:v>个人规划建议。</x:v>
      </x:c>
    </x:row>
    <x:row r="30" ht="105" customHeight="1">
      <x:c r="A30" s="2" t="str">
        <x:v>B03</x:v>
      </x:c>
      <x:c r="B30" s="17" t="str">
        <x:v>就业</x:v>
      </x:c>
      <x:c r="C30" s="2" t="str">
        <x:v>暑期实习投递与面试</x:v>
      </x:c>
      <x:c r="D30" s="4" t="str">
        <x:v>毕业</x:v>
      </x:c>
      <x:c r="E30" s="4" t="n">
        <x:v>-16</x:v>
      </x:c>
      <x:c r="F30" s="4" t="n">
        <x:v>-13</x:v>
      </x:c>
      <x:c r="G30" s="4" t="n">
        <x:v>2</x:v>
      </x:c>
      <x:c r="H30" s="4" t="str">
        <x:v>待确认</x:v>
      </x:c>
      <x:c r="I30" s="4" t="str">
        <x:v>优先</x:v>
      </x:c>
      <x:c r="J30" s="11" t="str">
        <x:v>毕业前一年；核对企业届别</x:v>
      </x:c>
      <x:c r="K30" s="11" t="str">
        <x:v>建议Y-1年2—5月，非统一报名截止。</x:v>
      </x:c>
      <x:c r="L30" s="11" t="str">
        <x:v>实习是否计入专业实践须另经学院认可；不能为实习压缩必需研究工作。</x:v>
      </x:c>
      <x:c r="M30" s="11" t="str">
        <x:v>实习简历、投递台账、面试记录、导师时间安排。</x:v>
      </x:c>
      <x:c r="N30" s="11" t="str">
        <x:v>提前4–8周备简历与面试，提前确认可实习时长。</x:v>
      </x:c>
      <x:c r="O30" s="2" t="n">
        <x:f>IF(D30="毕业",'时间线'!$C$9+E30,E30)</x:f>
        <x:v>17</x:v>
      </x:c>
      <x:c r="P30" s="2" t="n">
        <x:f>IF(D30="毕业",'时间线'!$C$9+F30,F30)</x:f>
        <x:v>20</x:v>
      </x:c>
      <x:c r="Q30" s="2" t="str">
        <x:f>"研"&amp;(INT(O30/12)+1)&amp;"·"&amp;(MOD('时间线'!$C$5-1+O30,12)+1)&amp;"月"</x:f>
        <x:v>研2·2月</x:v>
      </x:c>
      <x:c r="R30" s="2" t="str">
        <x:f>"研"&amp;(INT(P30/12)+1)&amp;"·"&amp;(MOD('时间线'!$C$5-1+P30,12)+1)&amp;"月"</x:f>
        <x:v>研2·5月</x:v>
      </x:c>
      <x:c r="S30" s="2" t="str">
        <x:f>IF(O30-G30&lt;0,"入学前","研"&amp;(INT((O30-G30)/12)+1)&amp;"·"&amp;(MOD('时间线'!$C$5-1+O30-G30,12)+1)&amp;"月")</x:f>
        <x:v>研2·12月</x:v>
      </x:c>
      <x:c r="T30" s="24"/>
      <x:c r="U30" s="11" t="str">
        <x:v>2026企业实例：https://24365.ncss.cn/student/jobs/R8pLEc7oQ3zh22z8j8MaxH/detail.html；仅实例，规划需按岗位公告调整。</x:v>
      </x:c>
    </x:row>
    <x:row r="31" ht="105" customHeight="1">
      <x:c r="A31" s="2" t="str">
        <x:v>B04</x:v>
      </x:c>
      <x:c r="B31" s="17" t="str">
        <x:v>就业</x:v>
      </x:c>
      <x:c r="C31" s="2" t="str">
        <x:v>暑期实习与转正评估</x:v>
      </x:c>
      <x:c r="D31" s="4" t="str">
        <x:v>毕业</x:v>
      </x:c>
      <x:c r="E31" s="4" t="n">
        <x:v>-12</x:v>
      </x:c>
      <x:c r="F31" s="4" t="n">
        <x:v>-10</x:v>
      </x:c>
      <x:c r="G31" s="4" t="n">
        <x:v>1</x:v>
      </x:c>
      <x:c r="H31" s="4" t="str">
        <x:v>待确认</x:v>
      </x:c>
      <x:c r="I31" s="4" t="str">
        <x:v>优先</x:v>
      </x:c>
      <x:c r="J31" s="11" t="str">
        <x:v>有实习安排者</x:v>
      </x:c>
      <x:c r="K31" s="11" t="str">
        <x:v>个人建议Y-1年6—8月；企业实际安排优先。</x:v>
      </x:c>
      <x:c r="L31" s="11" t="str">
        <x:v>开始前明确任务、评价方式和转正流程，结束前整理成果和反馈。</x:v>
      </x:c>
      <x:c r="M31" s="11" t="str">
        <x:v>实习成果、主管反馈、转正信息、实践认定材料。</x:v>
      </x:c>
      <x:c r="N31" s="11" t="str">
        <x:v>每周保留成果；同步预留秋招准备时间。</x:v>
      </x:c>
      <x:c r="O31" s="2" t="n">
        <x:f>IF(D31="毕业",'时间线'!$C$9+E31,E31)</x:f>
        <x:v>21</x:v>
      </x:c>
      <x:c r="P31" s="2" t="n">
        <x:f>IF(D31="毕业",'时间线'!$C$9+F31,F31)</x:f>
        <x:v>23</x:v>
      </x:c>
      <x:c r="Q31" s="2" t="str">
        <x:f>"研"&amp;(INT(O31/12)+1)&amp;"·"&amp;(MOD('时间线'!$C$5-1+O31,12)+1)&amp;"月"</x:f>
        <x:v>研2·6月</x:v>
      </x:c>
      <x:c r="R31" s="2" t="str">
        <x:f>"研"&amp;(INT(P31/12)+1)&amp;"·"&amp;(MOD('时间线'!$C$5-1+P31,12)+1)&amp;"月"</x:f>
        <x:v>研2·8月</x:v>
      </x:c>
      <x:c r="S31" s="2" t="str">
        <x:f>IF(O31-G31&lt;0,"入学前","研"&amp;(INT((O31-G31)/12)+1)&amp;"·"&amp;(MOD('时间线'!$C$5-1+O31-G31,12)+1)&amp;"月")</x:f>
        <x:v>研2·5月</x:v>
      </x:c>
      <x:c r="T31" s="24"/>
      <x:c r="U31" s="11" t="str">
        <x:v>个人规划建议。</x:v>
      </x:c>
    </x:row>
    <x:row r="32" ht="105" customHeight="1">
      <x:c r="A32" s="2" t="str">
        <x:v>B05</x:v>
      </x:c>
      <x:c r="B32" s="17" t="str">
        <x:v>就业</x:v>
      </x:c>
      <x:c r="C32" s="2" t="str">
        <x:v>提前批与秋招准备</x:v>
      </x:c>
      <x:c r="D32" s="4" t="str">
        <x:v>毕业</x:v>
      </x:c>
      <x:c r="E32" s="4" t="n">
        <x:v>-12</x:v>
      </x:c>
      <x:c r="F32" s="4" t="n">
        <x:v>-10</x:v>
      </x:c>
      <x:c r="G32" s="4" t="n">
        <x:v>2</x:v>
      </x:c>
      <x:c r="H32" s="4" t="str">
        <x:v>待确认</x:v>
      </x:c>
      <x:c r="I32" s="4" t="str">
        <x:v>优先</x:v>
      </x:c>
      <x:c r="J32" s="11" t="str">
        <x:v>毕业前一年；岗位届别须匹配</x:v>
      </x:c>
      <x:c r="K32" s="11" t="str">
        <x:v>建议Y-1年6—8月监测启动，企业可能更早。</x:v>
      </x:c>
      <x:c r="L32" s="11" t="str">
        <x:v>提前批不是统一日程，持续跟踪目标企业并保留各岗位截止。</x:v>
      </x:c>
      <x:c r="M32" s="11" t="str">
        <x:v>岗位版简历、笔试计划、项目讲述、目标企业列表。</x:v>
      </x:c>
      <x:c r="N32" s="11" t="str">
        <x:v>提前1–2个月完成材料，不等学校大型招聘会才开始网申。</x:v>
      </x:c>
      <x:c r="O32" s="2" t="n">
        <x:f>IF(D32="毕业",'时间线'!$C$9+E32,E32)</x:f>
        <x:v>21</x:v>
      </x:c>
      <x:c r="P32" s="2" t="n">
        <x:f>IF(D32="毕业",'时间线'!$C$9+F32,F32)</x:f>
        <x:v>23</x:v>
      </x:c>
      <x:c r="Q32" s="2" t="str">
        <x:f>"研"&amp;(INT(O32/12)+1)&amp;"·"&amp;(MOD('时间线'!$C$5-1+O32,12)+1)&amp;"月"</x:f>
        <x:v>研2·6月</x:v>
      </x:c>
      <x:c r="R32" s="2" t="str">
        <x:f>"研"&amp;(INT(P32/12)+1)&amp;"·"&amp;(MOD('时间线'!$C$5-1+P32,12)+1)&amp;"月"</x:f>
        <x:v>研2·8月</x:v>
      </x:c>
      <x:c r="S32" s="2" t="str">
        <x:f>IF(O32-G32&lt;0,"入学前","研"&amp;(INT((O32-G32)/12)+1)&amp;"·"&amp;(MOD('时间线'!$C$5-1+O32-G32,12)+1)&amp;"月")</x:f>
        <x:v>研2·4月</x:v>
      </x:c>
      <x:c r="T32" s="24"/>
      <x:c r="U32" s="11" t="str">
        <x:v>教育部2026金秋启航招聘月，2026-09-20，9—11月活动；月份平移为个人建议。https://cso.ncss.cn/ncss/jydt/yw/202609/20260920/2293967744.html</x:v>
      </x:c>
    </x:row>
    <x:row r="33" ht="105" customHeight="1">
      <x:c r="A33" s="2" t="str">
        <x:v>B06</x:v>
      </x:c>
      <x:c r="B33" s="17" t="str">
        <x:v>就业</x:v>
      </x:c>
      <x:c r="C33" s="2" t="str">
        <x:v>秋招集中投递与笔面试</x:v>
      </x:c>
      <x:c r="D33" s="4" t="str">
        <x:v>毕业</x:v>
      </x:c>
      <x:c r="E33" s="4" t="n">
        <x:v>-9</x:v>
      </x:c>
      <x:c r="F33" s="4" t="n">
        <x:v>-7</x:v>
      </x:c>
      <x:c r="G33" s="4" t="n">
        <x:v>2</x:v>
      </x:c>
      <x:c r="H33" s="4" t="str">
        <x:v>待确认</x:v>
      </x:c>
      <x:c r="I33" s="4" t="str">
        <x:v>优先</x:v>
      </x:c>
      <x:c r="J33" s="11" t="str">
        <x:v>按毕业届别确认</x:v>
      </x:c>
      <x:c r="K33" s="11" t="str">
        <x:v>建议Y-1年9—11月；2026教育部活动支持该集中窗口。</x:v>
      </x:c>
      <x:c r="L33" s="11" t="str">
        <x:v>有滚动招满风险。给科研保留固定深度工作时间，按岗位优先级安排面试。</x:v>
      </x:c>
      <x:c r="M33" s="11" t="str">
        <x:v>公司—岗位—截止—进度—下一步台账。</x:v>
      </x:c>
      <x:c r="N33" s="11" t="str">
        <x:v>8月前准备材料；每周两次集中投递复盘并跟进截止。</x:v>
      </x:c>
      <x:c r="O33" s="2" t="n">
        <x:f>IF(D33="毕业",'时间线'!$C$9+E33,E33)</x:f>
        <x:v>24</x:v>
      </x:c>
      <x:c r="P33" s="2" t="n">
        <x:f>IF(D33="毕业",'时间线'!$C$9+F33,F33)</x:f>
        <x:v>26</x:v>
      </x:c>
      <x:c r="Q33" s="2" t="str">
        <x:f>"研"&amp;(INT(O33/12)+1)&amp;"·"&amp;(MOD('时间线'!$C$5-1+O33,12)+1)&amp;"月"</x:f>
        <x:v>研3·9月</x:v>
      </x:c>
      <x:c r="R33" s="2" t="str">
        <x:f>"研"&amp;(INT(P33/12)+1)&amp;"·"&amp;(MOD('时间线'!$C$5-1+P33,12)+1)&amp;"月"</x:f>
        <x:v>研3·11月</x:v>
      </x:c>
      <x:c r="S33" s="2" t="str">
        <x:f>IF(O33-G33&lt;0,"入学前","研"&amp;(INT((O33-G33)/12)+1)&amp;"·"&amp;(MOD('时间线'!$C$5-1+O33-G33,12)+1)&amp;"月")</x:f>
        <x:v>研2·7月</x:v>
      </x:c>
      <x:c r="T33" s="24"/>
      <x:c r="U33" s="11" t="str">
        <x:v>教育部2026金秋启航招聘月，2026-09-20，9—11月活动；月份平移为个人建议。https://cso.ncss.cn/ncss/jydt/yw/202609/20260920/2293967744.html</x:v>
      </x:c>
    </x:row>
    <x:row r="34" ht="105" customHeight="1">
      <x:c r="A34" s="2" t="str">
        <x:v>B07</x:v>
      </x:c>
      <x:c r="B34" s="17" t="str">
        <x:v>就业</x:v>
      </x:c>
      <x:c r="C34" s="2" t="str">
        <x:v>Offer比较与补录关注</x:v>
      </x:c>
      <x:c r="D34" s="4" t="str">
        <x:v>毕业</x:v>
      </x:c>
      <x:c r="E34" s="4" t="n">
        <x:v>-7</x:v>
      </x:c>
      <x:c r="F34" s="4" t="n">
        <x:v>-5</x:v>
      </x:c>
      <x:c r="G34" s="4" t="n">
        <x:v>0</x:v>
      </x:c>
      <x:c r="H34" s="4" t="str">
        <x:v>待确认</x:v>
      </x:c>
      <x:c r="I34" s="4" t="str">
        <x:v>优先</x:v>
      </x:c>
      <x:c r="J34" s="11" t="str">
        <x:v>已有录用意向或仍在求职者</x:v>
      </x:c>
      <x:c r="K34" s="11" t="str">
        <x:v>个人建议Y-1年11月至Y年1月。</x:v>
      </x:c>
      <x:c r="L34" s="11" t="str">
        <x:v>比较实际工作内容、地点、培养发展及入职要求，核对学校签约流程与个人安排。</x:v>
      </x:c>
      <x:c r="M34" s="11" t="str">
        <x:v>比较表、书面录用信息、待澄清问题。</x:v>
      </x:c>
      <x:c r="N34" s="11" t="str">
        <x:v>收到后及时阅读约定，明确答复期限，勿仅按薪资一项排序。</x:v>
      </x:c>
      <x:c r="O34" s="2" t="n">
        <x:f>IF(D34="毕业",'时间线'!$C$9+E34,E34)</x:f>
        <x:v>26</x:v>
      </x:c>
      <x:c r="P34" s="2" t="n">
        <x:f>IF(D34="毕业",'时间线'!$C$9+F34,F34)</x:f>
        <x:v>28</x:v>
      </x:c>
      <x:c r="Q34" s="2" t="str">
        <x:f>"研"&amp;(INT(O34/12)+1)&amp;"·"&amp;(MOD('时间线'!$C$5-1+O34,12)+1)&amp;"月"</x:f>
        <x:v>研3·11月</x:v>
      </x:c>
      <x:c r="R34" s="2" t="str">
        <x:f>"研"&amp;(INT(P34/12)+1)&amp;"·"&amp;(MOD('时间线'!$C$5-1+P34,12)+1)&amp;"月"</x:f>
        <x:v>研3·1月</x:v>
      </x:c>
      <x:c r="S34" s="2" t="str">
        <x:f>IF(O34-G34&lt;0,"入学前","研"&amp;(INT((O34-G34)/12)+1)&amp;"·"&amp;(MOD('时间线'!$C$5-1+O34-G34,12)+1)&amp;"月")</x:f>
        <x:v>研3·11月</x:v>
      </x:c>
      <x:c r="T34" s="24"/>
      <x:c r="U34" s="11" t="str">
        <x:v>个人规划建议，不是法律意见或统一签约期。</x:v>
      </x:c>
    </x:row>
    <x:row r="35" ht="105" customHeight="1">
      <x:c r="A35" s="2" t="str">
        <x:v>B08</x:v>
      </x:c>
      <x:c r="B35" s="17" t="str">
        <x:v>就业</x:v>
      </x:c>
      <x:c r="C35" s="2" t="str">
        <x:v>春招与岗位补录</x:v>
      </x:c>
      <x:c r="D35" s="4" t="str">
        <x:v>毕业</x:v>
      </x:c>
      <x:c r="E35" s="4" t="n">
        <x:v>-4</x:v>
      </x:c>
      <x:c r="F35" s="4" t="n">
        <x:v>-1</x:v>
      </x:c>
      <x:c r="G35" s="4" t="n">
        <x:v>1</x:v>
      </x:c>
      <x:c r="H35" s="4" t="str">
        <x:v>待确认</x:v>
      </x:c>
      <x:c r="I35" s="4" t="str">
        <x:v>优先</x:v>
      </x:c>
      <x:c r="J35" s="11" t="str">
        <x:v>仍需求职或调整方向者</x:v>
      </x:c>
      <x:c r="K35" s="11" t="str">
        <x:v>建议毕业年2—5月；2027具体活动以公告为准。</x:v>
      </x:c>
      <x:c r="L35" s="11" t="str">
        <x:v>与预答辩、送审、正式答辩明显重叠，优先保住培养关键节点。</x:v>
      </x:c>
      <x:c r="M35" s="11" t="str">
        <x:v>修订简历、目标企业清单、复盘后的面试案例。</x:v>
      </x:c>
      <x:c r="N35" s="11" t="str">
        <x:v>寒假完成第一轮材料修订，避免送审周集中投递。</x:v>
      </x:c>
      <x:c r="O35" s="2" t="n">
        <x:f>IF(D35="毕业",'时间线'!$C$9+E35,E35)</x:f>
        <x:v>29</x:v>
      </x:c>
      <x:c r="P35" s="2" t="n">
        <x:f>IF(D35="毕业",'时间线'!$C$9+F35,F35)</x:f>
        <x:v>32</x:v>
      </x:c>
      <x:c r="Q35" s="2" t="str">
        <x:f>"研"&amp;(INT(O35/12)+1)&amp;"·"&amp;(MOD('时间线'!$C$5-1+O35,12)+1)&amp;"月"</x:f>
        <x:v>研3·2月</x:v>
      </x:c>
      <x:c r="R35" s="2" t="str">
        <x:f>"研"&amp;(INT(P35/12)+1)&amp;"·"&amp;(MOD('时间线'!$C$5-1+P35,12)+1)&amp;"月"</x:f>
        <x:v>研3·5月</x:v>
      </x:c>
      <x:c r="S35" s="2" t="str">
        <x:f>IF(O35-G35&lt;0,"入学前","研"&amp;(INT((O35-G35)/12)+1)&amp;"·"&amp;(MOD('时间线'!$C$5-1+O35-G35,12)+1)&amp;"月")</x:f>
        <x:v>研3·1月</x:v>
      </x:c>
      <x:c r="T35" s="24"/>
      <x:c r="U35" s="11" t="str">
        <x:v>教育部2026春季促就业行动3—5月，2026-03-20。https://24.hrss.ncss.cn/ncss/jydt/yw/202603/20260320/2293452495.html</x:v>
      </x:c>
    </x:row>
    <x:row r="36" ht="105" customHeight="1">
      <x:c r="A36" s="2" t="str">
        <x:v>B09</x:v>
      </x:c>
      <x:c r="B36" s="17" t="str">
        <x:v>就业</x:v>
      </x:c>
      <x:c r="C36" s="2" t="str">
        <x:v>就业登记与入职准备</x:v>
      </x:c>
      <x:c r="D36" s="4" t="str">
        <x:v>毕业</x:v>
      </x:c>
      <x:c r="E36" s="4" t="n">
        <x:v>-1</x:v>
      </x:c>
      <x:c r="F36" s="4" t="n">
        <x:v>1</x:v>
      </x:c>
      <x:c r="G36" s="4" t="n">
        <x:v>1</x:v>
      </x:c>
      <x:c r="H36" s="4" t="str">
        <x:v>待确认</x:v>
      </x:c>
      <x:c r="I36" s="4" t="str">
        <x:v>优先</x:v>
      </x:c>
      <x:c r="J36" s="11" t="str">
        <x:v>拟就业者</x:v>
      </x:c>
      <x:c r="K36" s="11" t="str">
        <x:v>个人建议毕业前后；以企业/学院清单为准。</x:v>
      </x:c>
      <x:c r="L36" s="11" t="str">
        <x:v>确认取得证书的时间、入职日期和材料要求，确保衔接。</x:v>
      </x:c>
      <x:c r="M36" s="11" t="str">
        <x:v>就业登记、档案、入职清单和相关证明。</x:v>
      </x:c>
      <x:c r="N36" s="11" t="str">
        <x:v>提前一个月向企业确认必需材料和办理周期。</x:v>
      </x:c>
      <x:c r="O36" s="2" t="n">
        <x:f>IF(D36="毕业",'时间线'!$C$9+E36,E36)</x:f>
        <x:v>32</x:v>
      </x:c>
      <x:c r="P36" s="2" t="n">
        <x:f>IF(D36="毕业",'时间线'!$C$9+F36,F36)</x:f>
        <x:v>34</x:v>
      </x:c>
      <x:c r="Q36" s="2" t="str">
        <x:f>"研"&amp;(INT(O36/12)+1)&amp;"·"&amp;(MOD('时间线'!$C$5-1+O36,12)+1)&amp;"月"</x:f>
        <x:v>研3·5月</x:v>
      </x:c>
      <x:c r="R36" s="2" t="str">
        <x:f>"研"&amp;(INT(P36/12)+1)&amp;"·"&amp;(MOD('时间线'!$C$5-1+P36,12)+1)&amp;"月"</x:f>
        <x:v>研3·7月</x:v>
      </x:c>
      <x:c r="S36" s="2" t="str">
        <x:f>IF(O36-G36&lt;0,"入学前","研"&amp;(INT((O36-G36)/12)+1)&amp;"·"&amp;(MOD('时间线'!$C$5-1+O36-G36,12)+1)&amp;"月")</x:f>
        <x:v>研3·4月</x:v>
      </x:c>
      <x:c r="T36" s="24"/>
      <x:c r="U36" s="11" t="str">
        <x:v>个人规划建议。</x:v>
      </x:c>
    </x:row>
    <x:row r="37" ht="105" customHeight="1">
      <x:c r="A37" s="2" t="str">
        <x:v>B10</x:v>
      </x:c>
      <x:c r="B37" s="17" t="str">
        <x:v>就业</x:v>
      </x:c>
      <x:c r="C37" s="2" t="str">
        <x:v>公共部门/银行/国企资格预核</x:v>
      </x:c>
      <x:c r="D37" s="4" t="str">
        <x:v>入学</x:v>
      </x:c>
      <x:c r="E37" s="4" t="n">
        <x:v>19</x:v>
      </x:c>
      <x:c r="F37" s="4" t="n">
        <x:v>23</x:v>
      </x:c>
      <x:c r="G37" s="4" t="n">
        <x:v>2</x:v>
      </x:c>
      <x:c r="H37" s="4" t="str">
        <x:v>待确认</x:v>
      </x:c>
      <x:c r="I37" s="4" t="str">
        <x:v>可选</x:v>
      </x:c>
      <x:c r="J37" s="11" t="str">
        <x:v>拟走对应路线者</x:v>
      </x:c>
      <x:c r="K37" s="11" t="str">
        <x:v>建议研二4–8月选路线，报名考试月份见年度机会月历。</x:v>
      </x:c>
      <x:c r="L37" s="11" t="str">
        <x:v>国考、省考、选调、事业单位、银行国企和军队文职各自有届别/专业/资格要求，不能一套条件通用。</x:v>
      </x:c>
      <x:c r="M37" s="11" t="str">
        <x:v>岗位资格对照、推荐证明、公共/专业科目备考计划。</x:v>
      </x:c>
      <x:c r="N37" s="11" t="str">
        <x:v>最多主攻1–2条招聘路线；非应届在读资格先核，不为练手默认报名。</x:v>
      </x:c>
      <x:c r="O37" s="2" t="n">
        <x:f>IF(D37="毕业",'时间线'!$C$9+E37,E37)</x:f>
        <x:v>19</x:v>
      </x:c>
      <x:c r="P37" s="2" t="n">
        <x:f>IF(D37="毕业",'时间线'!$C$9+F37,F37)</x:f>
        <x:v>23</x:v>
      </x:c>
      <x:c r="Q37" s="2" t="str">
        <x:f>"研"&amp;(INT(O37/12)+1)&amp;"·"&amp;(MOD('时间线'!$C$5-1+O37,12)+1)&amp;"月"</x:f>
        <x:v>研2·4月</x:v>
      </x:c>
      <x:c r="R37" s="2" t="str">
        <x:f>"研"&amp;(INT(P37/12)+1)&amp;"·"&amp;(MOD('时间线'!$C$5-1+P37,12)+1)&amp;"月"</x:f>
        <x:v>研2·8月</x:v>
      </x:c>
      <x:c r="S37" s="2" t="str">
        <x:f>IF(O37-G37&lt;0,"入学前","研"&amp;(INT((O37-G37)/12)+1)&amp;"·"&amp;(MOD('时间线'!$C$5-1+O37-G37,12)+1)&amp;"月")</x:f>
        <x:v>研2·2月</x:v>
      </x:c>
      <x:c r="T37" s="24"/>
      <x:c r="U37" s="11" t="str">
        <x:v>官方具体入口见年度机会月历；此行是个人准备建议。</x:v>
      </x:c>
    </x:row>
    <x:row r="38" ht="105" customHeight="1">
      <x:c r="A38" s="2" t="str">
        <x:v>C01</x:v>
      </x:c>
      <x:c r="B38" s="19" t="str">
        <x:v>项目</x:v>
      </x:c>
      <x:c r="C38" s="2" t="str">
        <x:v>百步梯资格核实与选题准备</x:v>
      </x:c>
      <x:c r="D38" s="4" t="str">
        <x:v>入学</x:v>
      </x:c>
      <x:c r="E38" s="4" t="n">
        <x:v>1</x:v>
      </x:c>
      <x:c r="F38" s="4" t="n">
        <x:v>4</x:v>
      </x:c>
      <x:c r="G38" s="4" t="n">
        <x:v>0</x:v>
      </x:c>
      <x:c r="H38" s="4" t="str">
        <x:v>待确认</x:v>
      </x:c>
      <x:c r="I38" s="4" t="str">
        <x:v>可选</x:v>
      </x:c>
      <x:c r="J38" s="11" t="str">
        <x:v>研究生当年资格待学院/团委确认</x:v>
      </x:c>
      <x:c r="K38" s="11" t="str">
        <x:v>当前只排准备与关注；未核实到2026/2027申报日。</x:v>
      </x:c>
      <x:c r="L38" s="11" t="str">
        <x:v>不得凭旧通知推定本年度可申。先问负责人资格、组队结构、导师要求、项目周期和经费规则。</x:v>
      </x:c>
      <x:c r="M38" s="11" t="str">
        <x:v>资格确认、项目摘要、团队分工、可行性证据、预算草案。</x:v>
      </x:c>
      <x:c r="N38" s="11" t="str">
        <x:v>提前4–8周备材料；核实可申后，把正式截止单独写入年度窗口。</x:v>
      </x:c>
      <x:c r="O38" s="2" t="n">
        <x:f>IF(D38="毕业",'时间线'!$C$9+E38,E38)</x:f>
        <x:v>1</x:v>
      </x:c>
      <x:c r="P38" s="2" t="n">
        <x:f>IF(D38="毕业",'时间线'!$C$9+F38,F38)</x:f>
        <x:v>4</x:v>
      </x:c>
      <x:c r="Q38" s="2" t="str">
        <x:f>"研"&amp;(INT(O38/12)+1)&amp;"·"&amp;(MOD('时间线'!$C$5-1+O38,12)+1)&amp;"月"</x:f>
        <x:v>研1·10月</x:v>
      </x:c>
      <x:c r="R38" s="2" t="str">
        <x:f>"研"&amp;(INT(P38/12)+1)&amp;"·"&amp;(MOD('时间线'!$C$5-1+P38,12)+1)&amp;"月"</x:f>
        <x:v>研1·1月</x:v>
      </x:c>
      <x:c r="S38" s="2" t="str">
        <x:f>IF(O38-G38&lt;0,"入学前","研"&amp;(INT((O38-G38)/12)+1)&amp;"·"&amp;(MOD('时间线'!$C$5-1+O38-G38,12)+1)&amp;"月")</x:f>
        <x:v>研1·10月</x:v>
      </x:c>
      <x:c r="T38" s="24"/>
      <x:c r="U38" s="11" t="str">
        <x:v>华工2023百步梯结题通知（历史），2024-03-04：https://www2.scut.edu.cn/jtxy/2024/0304/c37904a538344/page.htm；当年资格未核实。</x:v>
      </x:c>
    </x:row>
    <x:row r="39" ht="105" customHeight="1">
      <x:c r="A39" s="2" t="str">
        <x:v>C02</x:v>
      </x:c>
      <x:c r="B39" s="19" t="str">
        <x:v>项目</x:v>
      </x:c>
      <x:c r="C39" s="2" t="str">
        <x:v>项目申报材料与导师评阅</x:v>
      </x:c>
      <x:c r="D39" s="4" t="str">
        <x:v>入学</x:v>
      </x:c>
      <x:c r="E39" s="4" t="n">
        <x:v>4</x:v>
      </x:c>
      <x:c r="F39" s="4" t="n">
        <x:v>5</x:v>
      </x:c>
      <x:c r="G39" s="4" t="n">
        <x:v>1</x:v>
      </x:c>
      <x:c r="H39" s="4" t="str">
        <x:v>待确认</x:v>
      </x:c>
      <x:c r="I39" s="4" t="str">
        <x:v>可选</x:v>
      </x:c>
      <x:c r="J39" s="11" t="str">
        <x:v>已确认符合具体校内项目者</x:v>
      </x:c>
      <x:c r="K39" s="11" t="str">
        <x:v>个人建议储备窗口；不代表实际开放申报。</x:v>
      </x:c>
      <x:c r="L39" s="11" t="str">
        <x:v>校内不同项目不能共用同一资格、经费和结题规则。公告发布后按真正截止倒推提交。</x:v>
      </x:c>
      <x:c r="M39" s="11" t="str">
        <x:v>申请书、预算、导师意见、团队成果和附件清单。</x:v>
      </x:c>
      <x:c r="N39" s="11" t="str">
        <x:v>提前1个月给导师首稿，提前1周完成系统与附件检查。</x:v>
      </x:c>
      <x:c r="O39" s="2" t="n">
        <x:f>IF(D39="毕业",'时间线'!$C$9+E39,E39)</x:f>
        <x:v>4</x:v>
      </x:c>
      <x:c r="P39" s="2" t="n">
        <x:f>IF(D39="毕业",'时间线'!$C$9+F39,F39)</x:f>
        <x:v>5</x:v>
      </x:c>
      <x:c r="Q39" s="2" t="str">
        <x:f>"研"&amp;(INT(O39/12)+1)&amp;"·"&amp;(MOD('时间线'!$C$5-1+O39,12)+1)&amp;"月"</x:f>
        <x:v>研1·1月</x:v>
      </x:c>
      <x:c r="R39" s="2" t="str">
        <x:f>"研"&amp;(INT(P39/12)+1)&amp;"·"&amp;(MOD('时间线'!$C$5-1+P39,12)+1)&amp;"月"</x:f>
        <x:v>研1·2月</x:v>
      </x:c>
      <x:c r="S39" s="2" t="str">
        <x:f>IF(O39-G39&lt;0,"入学前","研"&amp;(INT((O39-G39)/12)+1)&amp;"·"&amp;(MOD('时间线'!$C$5-1+O39-G39,12)+1)&amp;"月")</x:f>
        <x:v>研1·12月</x:v>
      </x:c>
      <x:c r="T39" s="24"/>
      <x:c r="U39" s="11" t="str">
        <x:v>个人规划建议；正式通知待补。</x:v>
      </x:c>
    </x:row>
    <x:row r="40" ht="105" customHeight="1">
      <x:c r="A40" s="2" t="str">
        <x:v>C03</x:v>
      </x:c>
      <x:c r="B40" s="19" t="str">
        <x:v>项目</x:v>
      </x:c>
      <x:c r="C40" s="2" t="str">
        <x:v>项目执行、中期及结题跟踪</x:v>
      </x:c>
      <x:c r="D40" s="4" t="str">
        <x:v>入学</x:v>
      </x:c>
      <x:c r="E40" s="4" t="n">
        <x:v>6</x:v>
      </x:c>
      <x:c r="F40" s="4" t="n">
        <x:v>17</x:v>
      </x:c>
      <x:c r="G40" s="4" t="n">
        <x:v>0</x:v>
      </x:c>
      <x:c r="H40" s="4" t="str">
        <x:v>待确认</x:v>
      </x:c>
      <x:c r="I40" s="4" t="str">
        <x:v>可选</x:v>
      </x:c>
      <x:c r="J40" s="11" t="str">
        <x:v>仅限获得立项的项目；否则不适用</x:v>
      </x:c>
      <x:c r="K40" s="11" t="str">
        <x:v>图示为工作预留；实际按立项书及项目通知重排。</x:v>
      </x:c>
      <x:c r="L40" s="11" t="str">
        <x:v>项目中期和结题不等于学位论文中期。每个项目须单独记批准周期、验收指标和报销截止。</x:v>
      </x:c>
      <x:c r="M40" s="11" t="str">
        <x:v>立项书、过程记录、中期报告、结题成果及经费材料。</x:v>
      </x:c>
      <x:c r="N40" s="11" t="str">
        <x:v>立项当天录入全部里程碑；结题前2个月盘点成果与凭证。</x:v>
      </x:c>
      <x:c r="O40" s="2" t="n">
        <x:f>IF(D40="毕业",'时间线'!$C$9+E40,E40)</x:f>
        <x:v>6</x:v>
      </x:c>
      <x:c r="P40" s="2" t="n">
        <x:f>IF(D40="毕业",'时间线'!$C$9+F40,F40)</x:f>
        <x:v>17</x:v>
      </x:c>
      <x:c r="Q40" s="2" t="str">
        <x:f>"研"&amp;(INT(O40/12)+1)&amp;"·"&amp;(MOD('时间线'!$C$5-1+O40,12)+1)&amp;"月"</x:f>
        <x:v>研1·3月</x:v>
      </x:c>
      <x:c r="R40" s="2" t="str">
        <x:f>"研"&amp;(INT(P40/12)+1)&amp;"·"&amp;(MOD('时间线'!$C$5-1+P40,12)+1)&amp;"月"</x:f>
        <x:v>研2·2月</x:v>
      </x:c>
      <x:c r="S40" s="2" t="str">
        <x:f>IF(O40-G40&lt;0,"入学前","研"&amp;(INT((O40-G40)/12)+1)&amp;"·"&amp;(MOD('时间线'!$C$5-1+O40-G40,12)+1)&amp;"月")</x:f>
        <x:v>研1·3月</x:v>
      </x:c>
      <x:c r="T40" s="24"/>
      <x:c r="U40" s="11" t="str">
        <x:v>具体项目立项书与管理通知待补；当前不是官方期限。</x:v>
      </x:c>
    </x:row>
    <x:row r="41" ht="105" customHeight="1">
      <x:c r="A41" s="2" t="str">
        <x:v>C04</x:v>
      </x:c>
      <x:c r="B41" s="19" t="str">
        <x:v>项目</x:v>
      </x:c>
      <x:c r="C41" s="2" t="str">
        <x:v>下一年度研究生竞赛资助关注</x:v>
      </x:c>
      <x:c r="D41" s="4" t="str">
        <x:v>入学</x:v>
      </x:c>
      <x:c r="E41" s="4" t="n">
        <x:v>1</x:v>
      </x:c>
      <x:c r="F41" s="4" t="n">
        <x:v>3</x:v>
      </x:c>
      <x:c r="G41" s="4" t="n">
        <x:v>0</x:v>
      </x:c>
      <x:c r="H41" s="4" t="str">
        <x:v>待确认</x:v>
      </x:c>
      <x:c r="I41" s="4" t="str">
        <x:v>可选</x:v>
      </x:c>
      <x:c r="J41" s="11" t="str">
        <x:v>是否符合当年资助范围须核对</x:v>
      </x:c>
      <x:c r="K41" s="11" t="str">
        <x:v>每年关注当届通知；历史有提前一年申报支持次年赛事，秋季仅监测建议。</x:v>
      </x:c>
      <x:c r="L41" s="11" t="str">
        <x:v>参赛不自动获得经费，不同赛事可能有独立资助渠道；注意重复资助限制。</x:v>
      </x:c>
      <x:c r="M41" s="11" t="str">
        <x:v>比赛目录、资助资格确认、预算与导师意见。</x:v>
      </x:c>
      <x:c r="N41" s="11" t="str">
        <x:v>报名参赛前先确认经费渠道、支出范围和赛后报销材料。</x:v>
      </x:c>
      <x:c r="O41" s="2" t="n">
        <x:f>IF(D41="毕业",'时间线'!$C$9+E41,E41)</x:f>
        <x:v>1</x:v>
      </x:c>
      <x:c r="P41" s="2" t="n">
        <x:f>IF(D41="毕业",'时间线'!$C$9+F41,F41)</x:f>
        <x:v>3</x:v>
      </x:c>
      <x:c r="Q41" s="2" t="str">
        <x:f>"研"&amp;(INT(O41/12)+1)&amp;"·"&amp;(MOD('时间线'!$C$5-1+O41,12)+1)&amp;"月"</x:f>
        <x:v>研1·10月</x:v>
      </x:c>
      <x:c r="R41" s="2" t="str">
        <x:f>"研"&amp;(INT(P41/12)+1)&amp;"·"&amp;(MOD('时间线'!$C$5-1+P41,12)+1)&amp;"月"</x:f>
        <x:v>研1·12月</x:v>
      </x:c>
      <x:c r="S41" s="2" t="str">
        <x:f>IF(O41-G41&lt;0,"入学前","研"&amp;(INT((O41-G41)/12)+1)&amp;"·"&amp;(MOD('时间线'!$C$5-1+O41-G41,12)+1)&amp;"月")</x:f>
        <x:v>研1·10月</x:v>
      </x:c>
      <x:c r="T41" s="24"/>
      <x:c r="U41" s="11" t="str">
        <x:v>华工2022项目申报旧通知，2021-12-10：https://www2.scut.edu.cn/physics/2021/1210/c14088a454161/page.htm；仅历史参考。</x:v>
      </x:c>
    </x:row>
    <x:row r="42" ht="105" customHeight="1">
      <x:c r="A42" s="2" t="str">
        <x:v>C05</x:v>
      </x:c>
      <x:c r="B42" s="19" t="str">
        <x:v>项目</x:v>
      </x:c>
      <x:c r="C42" s="2" t="str">
        <x:v>省攀登计划资格与申请准备</x:v>
      </x:c>
      <x:c r="D42" s="4" t="str">
        <x:v>入学</x:v>
      </x:c>
      <x:c r="E42" s="4" t="n">
        <x:v>1</x:v>
      </x:c>
      <x:c r="F42" s="4" t="n">
        <x:v>5</x:v>
      </x:c>
      <x:c r="G42" s="4" t="n">
        <x:v>1</x:v>
      </x:c>
      <x:c r="H42" s="4" t="str">
        <x:v>待确认</x:v>
      </x:c>
      <x:c r="I42" s="4" t="str">
        <x:v>可选</x:v>
      </x:c>
      <x:c r="J42" s="11" t="str">
        <x:v>符合当届条件的全日制硕士</x:v>
      </x:c>
      <x:c r="K42" s="11" t="str">
        <x:v>图示为研一准备/监测，实际申请按学校和省级通知。</x:v>
      </x:c>
      <x:c r="L42" s="11" t="str">
        <x:v>省攀登与校级百步梯不同。近期方案执行期2年，应尽早启动；校内申报名额、重复资助及团队条件须确认。</x:v>
      </x:c>
      <x:c r="M42" s="11" t="str">
        <x:v>真实服务需求、团队导师、方案预算、任务书与周期核对。</x:v>
      </x:c>
      <x:c r="N42" s="11" t="str">
        <x:v>提前2–3个月联系落地伙伴；毕业前能否完成中期、结题与报销须先评估。</x:v>
      </x:c>
      <x:c r="O42" s="2" t="n">
        <x:f>IF(D42="毕业",'时间线'!$C$9+E42,E42)</x:f>
        <x:v>1</x:v>
      </x:c>
      <x:c r="P42" s="2" t="n">
        <x:f>IF(D42="毕业",'时间线'!$C$9+F42,F42)</x:f>
        <x:v>5</x:v>
      </x:c>
      <x:c r="Q42" s="2" t="str">
        <x:f>"研"&amp;(INT(O42/12)+1)&amp;"·"&amp;(MOD('时间线'!$C$5-1+O42,12)+1)&amp;"月"</x:f>
        <x:v>研1·10月</x:v>
      </x:c>
      <x:c r="R42" s="2" t="str">
        <x:f>"研"&amp;(INT(P42/12)+1)&amp;"·"&amp;(MOD('时间线'!$C$5-1+P42,12)+1)&amp;"月"</x:f>
        <x:v>研1·2月</x:v>
      </x:c>
      <x:c r="S42" s="2" t="str">
        <x:f>IF(O42-G42&lt;0,"入学前","研"&amp;(INT((O42-G42)/12)+1)&amp;"·"&amp;(MOD('时间线'!$C$5-1+O42-G42,12)+1)&amp;"月")</x:f>
        <x:v>研1·9月</x:v>
      </x:c>
      <x:c r="T42" s="24"/>
      <x:c r="U42" s="11" t="str">
        <x:v>2026省方案高校官方转发：https://science.sysu.edu.cn/node/1173；华工内部截止另核。</x:v>
      </x:c>
    </x:row>
    <x:row r="43" ht="105" customHeight="1">
      <x:c r="A43" s="2" t="str">
        <x:v>C06</x:v>
      </x:c>
      <x:c r="B43" s="19" t="str">
        <x:v>项目</x:v>
      </x:c>
      <x:c r="C43" s="2" t="str">
        <x:v>校院际／导师科研交流准备</x:v>
      </x:c>
      <x:c r="D43" s="4" t="str">
        <x:v>入学</x:v>
      </x:c>
      <x:c r="E43" s="4" t="n">
        <x:v>6</x:v>
      </x:c>
      <x:c r="F43" s="4" t="n">
        <x:v>17</x:v>
      </x:c>
      <x:c r="G43" s="4" t="n">
        <x:v>6</x:v>
      </x:c>
      <x:c r="H43" s="4" t="str">
        <x:v>待确认</x:v>
      </x:c>
      <x:c r="I43" s="4" t="str">
        <x:v>可选</x:v>
      </x:c>
      <x:c r="J43" s="11" t="str">
        <x:v>具体项目允许的硕士；资助另核</x:v>
      </x:c>
      <x:c r="K43" s="11" t="str">
        <x:v>图示为研一至研二准备/交流规划，无统一正式月份。</x:v>
      </x:c>
      <x:c r="L43" s="11" t="str">
        <x:v>按外方安排及校内审批进行，博士专项资助不自动适用于硕士。项目结束应与返校、论文及答辩衔接。</x:v>
      </x:c>
      <x:c r="M43" s="11" t="str">
        <x:v>语言成绩、邀请、研究计划、经费方案、审批与返校总结。</x:v>
      </x:c>
      <x:c r="N43" s="11" t="str">
        <x:v>提前6–12个月准备方向和语言，出发前核齐审批及学籍安排。</x:v>
      </x:c>
      <x:c r="O43" s="2" t="n">
        <x:f>IF(D43="毕业",'时间线'!$C$9+E43,E43)</x:f>
        <x:v>6</x:v>
      </x:c>
      <x:c r="P43" s="2" t="n">
        <x:f>IF(D43="毕业",'时间线'!$C$9+F43,F43)</x:f>
        <x:v>17</x:v>
      </x:c>
      <x:c r="Q43" s="2" t="str">
        <x:f>"研"&amp;(INT(O43/12)+1)&amp;"·"&amp;(MOD('时间线'!$C$5-1+O43,12)+1)&amp;"月"</x:f>
        <x:v>研1·3月</x:v>
      </x:c>
      <x:c r="R43" s="2" t="str">
        <x:f>"研"&amp;(INT(P43/12)+1)&amp;"·"&amp;(MOD('时间线'!$C$5-1+P43,12)+1)&amp;"月"</x:f>
        <x:v>研2·2月</x:v>
      </x:c>
      <x:c r="S43" s="2" t="str">
        <x:f>IF(O43-G43&lt;0,"入学前","研"&amp;(INT((O43-G43)/12)+1)&amp;"·"&amp;(MOD('时间线'!$C$5-1+O43-G43,12)+1)&amp;"月")</x:f>
        <x:v>研1·9月</x:v>
      </x:c>
      <x:c r="T43" s="24"/>
      <x:c r="U43" s="11" t="str">
        <x:v>用户提供《2026研究生手册》书49–54页/PDF27–30页；具体项目简章另核。</x:v>
      </x:c>
    </x:row>
    <x:row r="44" ht="105" customHeight="1">
      <x:c r="A44" s="2" t="str">
        <x:v>D01</x:v>
      </x:c>
      <x:c r="B44" s="21" t="str">
        <x:v>证书</x:v>
      </x:c>
      <x:c r="C44" s="2" t="str">
        <x:v>岗位证书与报考资格筛选</x:v>
      </x:c>
      <x:c r="D44" s="4" t="str">
        <x:v>入学</x:v>
      </x:c>
      <x:c r="E44" s="4" t="n">
        <x:v>1</x:v>
      </x:c>
      <x:c r="F44" s="4" t="n">
        <x:v>1</x:v>
      </x:c>
      <x:c r="G44" s="4" t="n">
        <x:v>0</x:v>
      </x:c>
      <x:c r="H44" s="4" t="str">
        <x:v>待确认</x:v>
      </x:c>
      <x:c r="I44" s="4" t="str">
        <x:v>优先</x:v>
      </x:c>
      <x:c r="J44" s="11" t="str">
        <x:v>职业方向待确认</x:v>
      </x:c>
      <x:c r="K44" s="11" t="str">
        <x:v>个人建议先筛选；不把证书默认设为毕业必需。</x:v>
      </x:c>
      <x:c r="L44" s="11" t="str">
        <x:v>结合岗位价值、资格条件、有效期、报名成本和备考时长选择。一学期优先0–1项。</x:v>
      </x:c>
      <x:c r="M44" s="11" t="str">
        <x:v>目标证书清单、资格核验、备考取舍。</x:v>
      </x:c>
      <x:c r="N44" s="11" t="str">
        <x:v>已有证书或成绩先盘点，再决定是否提升或新增。</x:v>
      </x:c>
      <x:c r="O44" s="2" t="n">
        <x:f>IF(D44="毕业",'时间线'!$C$9+E44,E44)</x:f>
        <x:v>1</x:v>
      </x:c>
      <x:c r="P44" s="2" t="n">
        <x:f>IF(D44="毕业",'时间线'!$C$9+F44,F44)</x:f>
        <x:v>1</x:v>
      </x:c>
      <x:c r="Q44" s="2" t="str">
        <x:f>"研"&amp;(INT(O44/12)+1)&amp;"·"&amp;(MOD('时间线'!$C$5-1+O44,12)+1)&amp;"月"</x:f>
        <x:v>研1·10月</x:v>
      </x:c>
      <x:c r="R44" s="2" t="str">
        <x:f>"研"&amp;(INT(P44/12)+1)&amp;"·"&amp;(MOD('时间线'!$C$5-1+P44,12)+1)&amp;"月"</x:f>
        <x:v>研1·10月</x:v>
      </x:c>
      <x:c r="S44" s="2" t="str">
        <x:f>IF(O44-G44&lt;0,"入学前","研"&amp;(INT((O44-G44)/12)+1)&amp;"·"&amp;(MOD('时间线'!$C$5-1+O44-G44,12)+1)&amp;"月")</x:f>
        <x:v>研1·10月</x:v>
      </x:c>
      <x:c r="T44" s="24"/>
      <x:c r="U44" s="11" t="str">
        <x:v>个人规划建议；待用户补充专业/就业方向。</x:v>
      </x:c>
    </x:row>
    <x:row r="45" ht="105" customHeight="1">
      <x:c r="A45" s="2" t="str">
        <x:v>D02</x:v>
      </x:c>
      <x:c r="B45" s="21" t="str">
        <x:v>证书</x:v>
      </x:c>
      <x:c r="C45" s="2" t="str">
        <x:v>CET目标分数评估与备考</x:v>
      </x:c>
      <x:c r="D45" s="4" t="str">
        <x:v>入学</x:v>
      </x:c>
      <x:c r="E45" s="4" t="n">
        <x:v>2</x:v>
      </x:c>
      <x:c r="F45" s="4" t="n">
        <x:v>4</x:v>
      </x:c>
      <x:c r="G45" s="4" t="n">
        <x:v>0</x:v>
      </x:c>
      <x:c r="H45" s="4" t="str">
        <x:v>待确认</x:v>
      </x:c>
      <x:c r="I45" s="4" t="str">
        <x:v>可选</x:v>
      </x:c>
      <x:c r="J45" s="11" t="str">
        <x:v>需英语成绩者；须符合报名条件</x:v>
      </x:c>
      <x:c r="K45" s="11" t="str">
        <x:v>图示为一次个人备考占位；每年报名和考试参考月份见年度机会月历。</x:v>
      </x:c>
      <x:c r="L45" s="11" t="str">
        <x:v>六级资格含四级达到425分等当次校内条件；口试另需完成同级笔试报名。是否刷分看实际用途。</x:v>
      </x:c>
      <x:c r="M45" s="11" t="str">
        <x:v>目标分数、薄弱项清单、8–10周练习计划、报名记录。</x:v>
      </x:c>
      <x:c r="N45" s="11" t="str">
        <x:v>报名和考试分别设提醒；未报名不能只凭考试日期参加。</x:v>
      </x:c>
      <x:c r="O45" s="2" t="n">
        <x:f>IF(D45="毕业",'时间线'!$C$9+E45,E45)</x:f>
        <x:v>2</x:v>
      </x:c>
      <x:c r="P45" s="2" t="n">
        <x:f>IF(D45="毕业",'时间线'!$C$9+F45,F45)</x:f>
        <x:v>4</x:v>
      </x:c>
      <x:c r="Q45" s="2" t="str">
        <x:f>"研"&amp;(INT(O45/12)+1)&amp;"·"&amp;(MOD('时间线'!$C$5-1+O45,12)+1)&amp;"月"</x:f>
        <x:v>研1·11月</x:v>
      </x:c>
      <x:c r="R45" s="2" t="str">
        <x:f>"研"&amp;(INT(P45/12)+1)&amp;"·"&amp;(MOD('时间线'!$C$5-1+P45,12)+1)&amp;"月"</x:f>
        <x:v>研1·1月</x:v>
      </x:c>
      <x:c r="S45" s="2" t="str">
        <x:f>IF(O45-G45&lt;0,"入学前","研"&amp;(INT((O45-G45)/12)+1)&amp;"·"&amp;(MOD('时间线'!$C$5-1+O45-G45,12)+1)&amp;"月")</x:f>
        <x:v>研1·11月</x:v>
      </x:c>
      <x:c r="T45" s="24"/>
      <x:c r="U45" s="11" t="str">
        <x:v>华工2026下半年CET报名通知，2026-09-09。https://www.scut.edu.cn/new/2026/0909/c236a60511/page.htm</x:v>
      </x:c>
    </x:row>
    <x:row r="46" ht="105" customHeight="1">
      <x:c r="A46" s="2" t="str">
        <x:v>D03</x:v>
      </x:c>
      <x:c r="B46" s="21" t="str">
        <x:v>证书</x:v>
      </x:c>
      <x:c r="C46" s="2" t="str">
        <x:v>软考等岗位相关资格备考</x:v>
      </x:c>
      <x:c r="D46" s="4" t="str">
        <x:v>入学</x:v>
      </x:c>
      <x:c r="E46" s="4" t="n">
        <x:v>6</x:v>
      </x:c>
      <x:c r="F46" s="4" t="n">
        <x:v>9</x:v>
      </x:c>
      <x:c r="G46" s="4" t="n">
        <x:v>0</x:v>
      </x:c>
      <x:c r="H46" s="4" t="str">
        <x:v>待确认</x:v>
      </x:c>
      <x:c r="I46" s="4" t="str">
        <x:v>可选</x:v>
      </x:c>
      <x:c r="J46" s="11" t="str">
        <x:v>计算机/信息岗位或确有用途者</x:v>
      </x:c>
      <x:c r="K46" s="11" t="str">
        <x:v>图示为一次3–4个月备考占位；每年具体资格开考安排见年度机会月历。</x:v>
      </x:c>
      <x:c r="L46" s="11" t="str">
        <x:v>先选具体资格及当年开考科目，不默认报高级。其他职业资格待确认专业后另核门槛与官方日程。</x:v>
      </x:c>
      <x:c r="M46" s="11" t="str">
        <x:v>考试资格选择、报名/缴费记录、复习与模拟计划。</x:v>
      </x:c>
      <x:c r="N46" s="11" t="str">
        <x:v>预留3–4个月；若撞上开题/中期，应调整考试轮次。</x:v>
      </x:c>
      <x:c r="O46" s="2" t="n">
        <x:f>IF(D46="毕业",'时间线'!$C$9+E46,E46)</x:f>
        <x:v>6</x:v>
      </x:c>
      <x:c r="P46" s="2" t="n">
        <x:f>IF(D46="毕业",'时间线'!$C$9+F46,F46)</x:f>
        <x:v>9</x:v>
      </x:c>
      <x:c r="Q46" s="2" t="str">
        <x:f>"研"&amp;(INT(O46/12)+1)&amp;"·"&amp;(MOD('时间线'!$C$5-1+O46,12)+1)&amp;"月"</x:f>
        <x:v>研1·3月</x:v>
      </x:c>
      <x:c r="R46" s="2" t="str">
        <x:f>"研"&amp;(INT(P46/12)+1)&amp;"·"&amp;(MOD('时间线'!$C$5-1+P46,12)+1)&amp;"月"</x:f>
        <x:v>研1·6月</x:v>
      </x:c>
      <x:c r="S46" s="2" t="str">
        <x:f>IF(O46-G46&lt;0,"入学前","研"&amp;(INT((O46-G46)/12)+1)&amp;"·"&amp;(MOD('时间线'!$C$5-1+O46-G46,12)+1)&amp;"月")</x:f>
        <x:v>研1·3月</x:v>
      </x:c>
      <x:c r="T46" s="24"/>
      <x:c r="U46" s="11" t="str">
        <x:v>广州人社2026软考报考问答，2026-03-23。https://rsj.gz.gov.cn/ywzt/rcgz/rsks/bmtz/content/post_10736860.html</x:v>
      </x:c>
    </x:row>
    <x:row r="47" ht="105" customHeight="1">
      <x:c r="A47" s="2" t="str">
        <x:v>E01</x:v>
      </x:c>
      <x:c r="B47" s="23" t="str">
        <x:v>竞赛</x:v>
      </x:c>
      <x:c r="C47" s="2" t="str">
        <x:v>竞赛选题、组队与导师确认</x:v>
      </x:c>
      <x:c r="D47" s="4" t="str">
        <x:v>入学</x:v>
      </x:c>
      <x:c r="E47" s="4" t="n">
        <x:v>2</x:v>
      </x:c>
      <x:c r="F47" s="4" t="n">
        <x:v>4</x:v>
      </x:c>
      <x:c r="G47" s="4" t="n">
        <x:v>0</x:v>
      </x:c>
      <x:c r="H47" s="4" t="str">
        <x:v>待确认</x:v>
      </x:c>
      <x:c r="I47" s="4" t="str">
        <x:v>可选</x:v>
      </x:c>
      <x:c r="J47" s="11" t="str">
        <x:v>按当届赛事资格及赛道条件</x:v>
      </x:c>
      <x:c r="K47" s="11" t="str">
        <x:v>个人建议选1项主赛，实际校内选拔以当届公告为准。</x:v>
      </x:c>
      <x:c r="L47" s="11" t="str">
        <x:v>优先选择能共用研究数据、原型或调研成果的比赛，明确成员贡献与导师投入。</x:v>
      </x:c>
      <x:c r="M47" s="11" t="str">
        <x:v>赛道比较、分工、项目证据和备赛日历。</x:v>
      </x:c>
      <x:c r="N47" s="11" t="str">
        <x:v>比赛启动前8–12周形成团队，先看是否需要院赛/校赛选拔。</x:v>
      </x:c>
      <x:c r="O47" s="2" t="n">
        <x:f>IF(D47="毕业",'时间线'!$C$9+E47,E47)</x:f>
        <x:v>2</x:v>
      </x:c>
      <x:c r="P47" s="2" t="n">
        <x:f>IF(D47="毕业",'时间线'!$C$9+F47,F47)</x:f>
        <x:v>4</x:v>
      </x:c>
      <x:c r="Q47" s="2" t="str">
        <x:f>"研"&amp;(INT(O47/12)+1)&amp;"·"&amp;(MOD('时间线'!$C$5-1+O47,12)+1)&amp;"月"</x:f>
        <x:v>研1·11月</x:v>
      </x:c>
      <x:c r="R47" s="2" t="str">
        <x:f>"研"&amp;(INT(P47/12)+1)&amp;"·"&amp;(MOD('时间线'!$C$5-1+P47,12)+1)&amp;"月"</x:f>
        <x:v>研1·1月</x:v>
      </x:c>
      <x:c r="S47" s="2" t="str">
        <x:f>IF(O47-G47&lt;0,"入学前","研"&amp;(INT((O47-G47)/12)+1)&amp;"·"&amp;(MOD('时间线'!$C$5-1+O47-G47,12)+1)&amp;"月")</x:f>
        <x:v>研1·11月</x:v>
      </x:c>
      <x:c r="T47" s="24"/>
      <x:c r="U47" s="11" t="str">
        <x:v>赛事主办方及华工当届通知；详见年度窗口。</x:v>
      </x:c>
    </x:row>
    <x:row r="48" ht="105" customHeight="1">
      <x:c r="A48" s="2" t="str">
        <x:v>E02</x:v>
      </x:c>
      <x:c r="B48" s="23" t="str">
        <x:v>竞赛</x:v>
      </x:c>
      <x:c r="C48" s="2" t="str">
        <x:v>创新大赛项目打磨与校赛关注</x:v>
      </x:c>
      <x:c r="D48" s="4" t="str">
        <x:v>入学</x:v>
      </x:c>
      <x:c r="E48" s="4" t="n">
        <x:v>5</x:v>
      </x:c>
      <x:c r="F48" s="4" t="n">
        <x:v>10</x:v>
      </x:c>
      <x:c r="G48" s="4" t="n">
        <x:v>2</x:v>
      </x:c>
      <x:c r="H48" s="4" t="str">
        <x:v>待确认</x:v>
      </x:c>
      <x:c r="I48" s="4" t="str">
        <x:v>可选</x:v>
      </x:c>
      <x:c r="J48" s="11" t="str">
        <x:v>按当届高教主赛道等资格核定</x:v>
      </x:c>
      <x:c r="K48" s="11" t="str">
        <x:v>图示为项目储备期，实际申报/校赛/省国赛按当届通知，年度差异较大。</x:v>
      </x:c>
      <x:c r="L48" s="11" t="str">
        <x:v>全国报名截止可能晚于校内选拔。成熟度、真实需求、验证证据和商业表达需同步准备。</x:v>
      </x:c>
      <x:c r="M48" s="11" t="str">
        <x:v>商业计划、原型或服务验证、路演PPT、支撑附件。</x:v>
      </x:c>
      <x:c r="N48" s="11" t="str">
        <x:v>提前3个月形成可验证成果；全国截止前至少再查学院/学校内部截止。</x:v>
      </x:c>
      <x:c r="O48" s="2" t="n">
        <x:f>IF(D48="毕业",'时间线'!$C$9+E48,E48)</x:f>
        <x:v>5</x:v>
      </x:c>
      <x:c r="P48" s="2" t="n">
        <x:f>IF(D48="毕业",'时间线'!$C$9+F48,F48)</x:f>
        <x:v>10</x:v>
      </x:c>
      <x:c r="Q48" s="2" t="str">
        <x:f>"研"&amp;(INT(O48/12)+1)&amp;"·"&amp;(MOD('时间线'!$C$5-1+O48,12)+1)&amp;"月"</x:f>
        <x:v>研1·2月</x:v>
      </x:c>
      <x:c r="R48" s="2" t="str">
        <x:f>"研"&amp;(INT(P48/12)+1)&amp;"·"&amp;(MOD('时间线'!$C$5-1+P48,12)+1)&amp;"月"</x:f>
        <x:v>研1·7月</x:v>
      </x:c>
      <x:c r="S48" s="2" t="str">
        <x:f>IF(O48-G48&lt;0,"入学前","研"&amp;(INT((O48-G48)/12)+1)&amp;"·"&amp;(MOD('时间线'!$C$5-1+O48-G48,12)+1)&amp;"月")</x:f>
        <x:v>研1·12月</x:v>
      </x:c>
      <x:c r="T48" s="24"/>
      <x:c r="U48" s="11" t="str">
        <x:v>教育部2026创新大赛通知，具体官方链接见年度窗口。</x:v>
      </x:c>
    </x:row>
    <x:row r="49" ht="105" customHeight="1">
      <x:c r="A49" s="2" t="str">
        <x:v>E03</x:v>
      </x:c>
      <x:c r="B49" s="23" t="str">
        <x:v>竞赛</x:v>
      </x:c>
      <x:c r="C49" s="2" t="str">
        <x:v>挑战杯调研与作品积累</x:v>
      </x:c>
      <x:c r="D49" s="4" t="str">
        <x:v>入学</x:v>
      </x:c>
      <x:c r="E49" s="4" t="n">
        <x:v>5</x:v>
      </x:c>
      <x:c r="F49" s="4" t="n">
        <x:v>14</x:v>
      </x:c>
      <x:c r="G49" s="4" t="n">
        <x:v>2</x:v>
      </x:c>
      <x:c r="H49" s="4" t="str">
        <x:v>待确认</x:v>
      </x:c>
      <x:c r="I49" s="4" t="str">
        <x:v>可选</x:v>
      </x:c>
      <x:c r="J49" s="11" t="str">
        <x:v>按主赛/创业计划/揭榜挂帅具体类别核定</x:v>
      </x:c>
      <x:c r="K49" s="11" t="str">
        <x:v>个人建议；不同赛事类别和届次不能合并排期。</x:v>
      </x:c>
      <x:c r="L49" s="11" t="str">
        <x:v>主赛、创业计划赛、揭榜挂帅应分别管理；华工历史曾提前一年秋季启动校内选拔，关注最新培育通知。</x:v>
      </x:c>
      <x:c r="M49" s="11" t="str">
        <x:v>调研/实验记录、作品、成果证明、答辩材料。</x:v>
      </x:c>
      <x:c r="N49" s="11" t="str">
        <x:v>提前一学期积累证据，切勿等省赛通知才临时组队。</x:v>
      </x:c>
      <x:c r="O49" s="2" t="n">
        <x:f>IF(D49="毕业",'时间线'!$C$9+E49,E49)</x:f>
        <x:v>5</x:v>
      </x:c>
      <x:c r="P49" s="2" t="n">
        <x:f>IF(D49="毕业",'时间线'!$C$9+F49,F49)</x:f>
        <x:v>14</x:v>
      </x:c>
      <x:c r="Q49" s="2" t="str">
        <x:f>"研"&amp;(INT(O49/12)+1)&amp;"·"&amp;(MOD('时间线'!$C$5-1+O49,12)+1)&amp;"月"</x:f>
        <x:v>研1·2月</x:v>
      </x:c>
      <x:c r="R49" s="2" t="str">
        <x:f>"研"&amp;(INT(P49/12)+1)&amp;"·"&amp;(MOD('时间线'!$C$5-1+P49,12)+1)&amp;"月"</x:f>
        <x:v>研2·11月</x:v>
      </x:c>
      <x:c r="S49" s="2" t="str">
        <x:f>IF(O49-G49&lt;0,"入学前","研"&amp;(INT((O49-G49)/12)+1)&amp;"·"&amp;(MOD('时间线'!$C$5-1+O49-G49,12)+1)&amp;"月")</x:f>
        <x:v>研1·12月</x:v>
      </x:c>
      <x:c r="T49" s="24"/>
      <x:c r="U49" s="11" t="str">
        <x:v>华工2026挑战杯选拔新闻及2026揭榜挂帅主办方通知，见年度窗口。</x:v>
      </x:c>
    </x:row>
    <x:row r="50" ht="105" customHeight="1">
      <x:c r="A50" s="2" t="str">
        <x:v>E04</x:v>
      </x:c>
      <x:c r="B50" s="23" t="str">
        <x:v>竞赛</x:v>
      </x:c>
      <x:c r="C50" s="2" t="str">
        <x:v>研究生创新实践赛专项训练</x:v>
      </x:c>
      <x:c r="D50" s="4" t="str">
        <x:v>入学</x:v>
      </x:c>
      <x:c r="E50" s="4" t="n">
        <x:v>6</x:v>
      </x:c>
      <x:c r="F50" s="4" t="n">
        <x:v>10</x:v>
      </x:c>
      <x:c r="G50" s="4" t="n">
        <x:v>1</x:v>
      </x:c>
      <x:c r="H50" s="4" t="str">
        <x:v>待确认</x:v>
      </x:c>
      <x:c r="I50" s="4" t="str">
        <x:v>可选</x:v>
      </x:c>
      <x:c r="J50" s="11" t="str">
        <x:v>数模跨专业；其他赛道按专业匹配</x:v>
      </x:c>
      <x:c r="K50" s="11" t="str">
        <x:v>图示为个人训练期；下一届比赛日待公告。</x:v>
      </x:c>
      <x:c r="L50" s="11" t="str">
        <x:v>数学建模可训练建模、编程和论文协作；电子设计等赛道需硬件条件，专业未定暂不设必赛。</x:v>
      </x:c>
      <x:c r="M50" s="11" t="str">
        <x:v>稳定队伍、模拟赛记录、代码/文稿规范、报名缴费检查。</x:v>
      </x:c>
      <x:c r="N50" s="11" t="str">
        <x:v>提前2–3个月练协作；保留校内审核与报名缴费的时间。</x:v>
      </x:c>
      <x:c r="O50" s="2" t="n">
        <x:f>IF(D50="毕业",'时间线'!$C$9+E50,E50)</x:f>
        <x:v>6</x:v>
      </x:c>
      <x:c r="P50" s="2" t="n">
        <x:f>IF(D50="毕业",'时间线'!$C$9+F50,F50)</x:f>
        <x:v>10</x:v>
      </x:c>
      <x:c r="Q50" s="2" t="str">
        <x:f>"研"&amp;(INT(O50/12)+1)&amp;"·"&amp;(MOD('时间线'!$C$5-1+O50,12)+1)&amp;"月"</x:f>
        <x:v>研1·3月</x:v>
      </x:c>
      <x:c r="R50" s="2" t="str">
        <x:f>"研"&amp;(INT(P50/12)+1)&amp;"·"&amp;(MOD('时间线'!$C$5-1+P50,12)+1)&amp;"月"</x:f>
        <x:v>研1·7月</x:v>
      </x:c>
      <x:c r="S50" s="2" t="str">
        <x:f>IF(O50-G50&lt;0,"入学前","研"&amp;(INT((O50-G50)/12)+1)&amp;"·"&amp;(MOD('时间线'!$C$5-1+O50-G50,12)+1)&amp;"月")</x:f>
        <x:v>研1·2月</x:v>
      </x:c>
      <x:c r="T50" s="24"/>
      <x:c r="U50" s="11" t="str">
        <x:v>中国研究生创新实践系列大赛主办方2026通知，见年度窗口。</x:v>
      </x:c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</x:sheetData>
  <x:conditionalFormatting sqref="H7:H50">
    <x:cfRule type="containsText" dxfId="88" priority="1" operator="containsText" text="已完成"/>
  </x:conditionalFormatting>
  <x:dataValidations count="3">
    <x:dataValidation type="list" sqref="D7:D50">
      <x:formula1>"入学,毕业"</x:formula1>
    </x:dataValidation>
    <x:dataValidation type="list" sqref="H7:H50">
      <x:formula1>"待确认,未开始,进行中,已完成,不适用"</x:formula1>
    </x:dataValidation>
    <x:dataValidation type="list" sqref="I7:I50">
      <x:formula1>"必做,优先,可选"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40d7103f943e6"/>
  </x:tableParts>
</x:worksheet>
</file>

<file path=xl/worksheets/sheet3.xml><?xml version="1.0" encoding="utf-8"?>
<x:worksheet xmlns:x="http://schemas.openxmlformats.org/spreadsheetml/2006/main">
  <x:sheetPr>
    <x:tabColor rgb="FFA76D2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15" hidden="0" customWidth="1"/>
    <x:col min="4" max="4" width="9" hidden="0" customWidth="1"/>
    <x:col min="5" max="5" width="25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3" hidden="0" customWidth="1"/>
    <x:col min="19" max="19" width="44" hidden="0" customWidth="1"/>
    <x:col min="20" max="20" width="44" hidden="0" customWidth="1"/>
    <x:col min="21" max="21" width="44" hidden="0" customWidth="1"/>
    <x:col min="22" max="22" width="24" hidden="0" customWidth="1"/>
    <x:col min="23" max="23" width="6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7" customHeight="1">
      <x:c r="A2" s="3" t="str">
        <x:v>年度机会月历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7" customHeight="1">
      <x:c r="A3" s="2" t="str">
        <x:v>月份供历届复用。关 = 查通知；报 = 报名/缴费确认；考 = 考试；赛 = 比赛。参考月份每年校准。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7" customHeight="1">
      <x:c r="A4" s="2" t="str">
        <x:v>月格可直接修改。仅「关」的行不是已确认报名期；全年开放或批次不定事项仍须先预约/核资格。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0" t="str">
        <x:v>类别</x:v>
      </x:c>
      <x:c r="B6" s="10" t="str">
        <x:v>事项</x:v>
      </x:c>
      <x:c r="C6" s="10" t="str">
        <x:v>适用阶段</x:v>
      </x:c>
      <x:c r="D6" s="10" t="str">
        <x:v>提前（月）</x:v>
      </x:c>
      <x:c r="E6" s="10" t="str">
        <x:v>窗口性质</x:v>
      </x:c>
      <x:c r="F6" s="10" t="str">
        <x:v>1月</x:v>
      </x:c>
      <x:c r="G6" s="10" t="str">
        <x:v>2月</x:v>
      </x:c>
      <x:c r="H6" s="10" t="str">
        <x:v>3月</x:v>
      </x:c>
      <x:c r="I6" s="10" t="str">
        <x:v>4月</x:v>
      </x:c>
      <x:c r="J6" s="10" t="str">
        <x:v>5月</x:v>
      </x:c>
      <x:c r="K6" s="10" t="str">
        <x:v>6月</x:v>
      </x:c>
      <x:c r="L6" s="10" t="str">
        <x:v>7月</x:v>
      </x:c>
      <x:c r="M6" s="10" t="str">
        <x:v>8月</x:v>
      </x:c>
      <x:c r="N6" s="10" t="str">
        <x:v>9月</x:v>
      </x:c>
      <x:c r="O6" s="10" t="str">
        <x:v>10月</x:v>
      </x:c>
      <x:c r="P6" s="10" t="str">
        <x:v>11月</x:v>
      </x:c>
      <x:c r="Q6" s="10" t="str">
        <x:v>12月</x:v>
      </x:c>
      <x:c r="R6" s="10" t="str"/>
      <x:c r="S6" s="10" t="str">
        <x:v>适用条件与限制</x:v>
      </x:c>
      <x:c r="T6" s="10" t="str">
        <x:v>报名与考核说明</x:v>
      </x:c>
      <x:c r="U6" s="10" t="str">
        <x:v>提前准备建议</x:v>
      </x:c>
      <x:c r="V6" s="10" t="str">
        <x:v>个人备注</x:v>
      </x:c>
      <x:c r="W6" s="10" t="str">
        <x:v>官方出处（版本与链接）</x:v>
      </x:c>
    </x:row>
    <x:row r="7" ht="85" customHeight="1">
      <x:c r="A7" s="2" t="str">
        <x:v>就业</x:v>
      </x:c>
      <x:c r="B7" s="11" t="str">
        <x:v>暑期实习投递</x:v>
      </x:c>
      <x:c r="C7" s="11" t="str">
        <x:v>研二春季</x:v>
      </x:c>
      <x:c r="D7" s="11" t="n">
        <x:v>2</x:v>
      </x:c>
      <x:c r="E7" s="11" t="str">
        <x:v>企业分别发布</x:v>
      </x:c>
      <x:c r="F7" s="27" t="str">
        <x:v>关</x:v>
      </x:c>
      <x:c r="G7" s="27" t="str">
        <x:v>报</x:v>
      </x:c>
      <x:c r="H7" s="27" t="str">
        <x:v>报</x:v>
      </x:c>
      <x:c r="I7" s="27" t="str">
        <x:v>报</x:v>
      </x:c>
      <x:c r="J7" s="27" t="str">
        <x:v>报</x:v>
      </x:c>
      <x:c r="K7" s="27" t="str"/>
      <x:c r="L7" s="27" t="str"/>
      <x:c r="M7" s="27" t="str"/>
      <x:c r="N7" s="27" t="str"/>
      <x:c r="O7" s="27" t="str"/>
      <x:c r="P7" s="27" t="str"/>
      <x:c r="Q7" s="27" t="str"/>
      <x:c r="R7" s="2"/>
      <x:c r="S7" s="11" t="str">
        <x:v>面向对应毕业届别；与导师确认科研与可实习时长。</x:v>
      </x:c>
      <x:c r="T7" s="11" t="str">
        <x:v>2–5月为建议投递窗口，实际岗位可能更早；6–8月常用于暑期实习。</x:v>
      </x:c>
      <x:c r="U7" s="11" t="str">
        <x:v>提前4–8周备简历和面试；先确认实习能否计入专业实践。</x:v>
      </x:c>
      <x:c r="V7" s="11" t="str"/>
      <x:c r="W7" s="11" t="str">
        <x:v>国家大学生就业平台2026企业实例：https://24365.ncss.cn/student/jobs/R8pLEc7oQ3zh22z8j8MaxH/detail.html；月份为规划框架。</x:v>
      </x:c>
    </x:row>
    <x:row r="8" ht="85" customHeight="1">
      <x:c r="A8" s="2" t="str">
        <x:v>就业</x:v>
      </x:c>
      <x:c r="B8" s="11" t="str">
        <x:v>企业提前批/秋招</x:v>
      </x:c>
      <x:c r="C8" s="11" t="str">
        <x:v>研二暑假至研三</x:v>
      </x:c>
      <x:c r="D8" s="11" t="n">
        <x:v>2</x:v>
      </x:c>
      <x:c r="E8" s="11" t="str">
        <x:v>企业分别发布</x:v>
      </x:c>
      <x:c r="F8" s="27" t="str"/>
      <x:c r="G8" s="27" t="str"/>
      <x:c r="H8" s="27" t="str"/>
      <x:c r="I8" s="27" t="str"/>
      <x:c r="J8" s="27" t="str">
        <x:v>关</x:v>
      </x:c>
      <x:c r="K8" s="27" t="str">
        <x:v>关</x:v>
      </x:c>
      <x:c r="L8" s="27" t="str">
        <x:v>报</x:v>
      </x:c>
      <x:c r="M8" s="27" t="str">
        <x:v>报</x:v>
      </x:c>
      <x:c r="N8" s="27" t="str">
        <x:v>报</x:v>
      </x:c>
      <x:c r="O8" s="27" t="str">
        <x:v>报</x:v>
      </x:c>
      <x:c r="P8" s="27" t="str">
        <x:v>报</x:v>
      </x:c>
      <x:c r="Q8" s="27" t="str"/>
      <x:c r="R8" s="2"/>
      <x:c r="S8" s="11" t="str">
        <x:v>按毕业届别和岗位要求；不同公司滚动开招并可能提前招满。</x:v>
      </x:c>
      <x:c r="T8" s="11" t="str">
        <x:v>暑期起监测提前批，9–11月集中校招；网申、笔试、面试逐公司记录。</x:v>
      </x:c>
      <x:c r="U8" s="11" t="str">
        <x:v>6–8月准备材料；以岗位实际截止为准，不等待统一招聘会。</x:v>
      </x:c>
      <x:c r="V8" s="11" t="str"/>
      <x:c r="W8" s="11" t="str">
        <x:v>教育部金秋启航活动2026支持9–11月：https://cso.ncss.cn/ncss/jydt/yw/202609/20260920/2293967744.html</x:v>
      </x:c>
    </x:row>
    <x:row r="9" ht="85" customHeight="1">
      <x:c r="A9" s="2" t="str">
        <x:v>就业</x:v>
      </x:c>
      <x:c r="B9" s="11" t="str">
        <x:v>企业春招/补录</x:v>
      </x:c>
      <x:c r="C9" s="11" t="str">
        <x:v>研三春季</x:v>
      </x:c>
      <x:c r="D9" s="11" t="n">
        <x:v>1</x:v>
      </x:c>
      <x:c r="E9" s="11" t="str">
        <x:v>企业分别发布</x:v>
      </x:c>
      <x:c r="F9" s="27" t="str">
        <x:v>关</x:v>
      </x:c>
      <x:c r="G9" s="27" t="str">
        <x:v>报</x:v>
      </x:c>
      <x:c r="H9" s="27" t="str">
        <x:v>报</x:v>
      </x:c>
      <x:c r="I9" s="27" t="str">
        <x:v>报</x:v>
      </x:c>
      <x:c r="J9" s="27" t="str">
        <x:v>报</x:v>
      </x:c>
      <x:c r="K9" s="27" t="str"/>
      <x:c r="L9" s="27" t="str"/>
      <x:c r="M9" s="27" t="str"/>
      <x:c r="N9" s="27" t="str"/>
      <x:c r="O9" s="27" t="str"/>
      <x:c r="P9" s="27" t="str"/>
      <x:c r="Q9" s="27" t="str"/>
      <x:c r="R9" s="2"/>
      <x:c r="S9" s="11" t="str">
        <x:v>仍在求职或调整方向者；不是所有企业均有春招。</x:v>
      </x:c>
      <x:c r="T9" s="11" t="str">
        <x:v>建议2–5月跟进，具体批次以企业公告为准。</x:v>
      </x:c>
      <x:c r="U9" s="11" t="str">
        <x:v>寒假前完成简历复盘，预答辩和送审周减轻投递任务。</x:v>
      </x:c>
      <x:c r="V9" s="11" t="str"/>
      <x:c r="W9" s="11" t="str">
        <x:v>教育部2026春季行动：https://24.hrss.ncss.cn/ncss/jydt/yw/202603/20260320/2293452495.html</x:v>
      </x:c>
    </x:row>
    <x:row r="10" ht="85" customHeight="1">
      <x:c r="A10" s="2" t="str">
        <x:v>就业</x:v>
      </x:c>
      <x:c r="B10" s="11" t="str">
        <x:v>国考报名与笔试</x:v>
      </x:c>
      <x:c r="C10" s="11" t="str">
        <x:v>研三为主</x:v>
      </x:c>
      <x:c r="D10" s="11" t="n">
        <x:v>4</x:v>
      </x:c>
      <x:c r="E10" s="11" t="str">
        <x:v>近期公告参考</x:v>
      </x:c>
      <x:c r="F10" s="27" t="str"/>
      <x:c r="G10" s="27" t="str"/>
      <x:c r="H10" s="27" t="str"/>
      <x:c r="I10" s="27" t="str"/>
      <x:c r="J10" s="27" t="str"/>
      <x:c r="K10" s="27" t="str"/>
      <x:c r="L10" s="27" t="str"/>
      <x:c r="M10" s="27" t="str"/>
      <x:c r="N10" s="27" t="str">
        <x:v>关</x:v>
      </x:c>
      <x:c r="O10" s="27" t="str">
        <x:v>报</x:v>
      </x:c>
      <x:c r="P10" s="27" t="str">
        <x:v>考</x:v>
      </x:c>
      <x:c r="Q10" s="27" t="str">
        <x:v>考</x:v>
      </x:c>
      <x:c r="R10" s="2"/>
      <x:c r="S10" s="11" t="str">
        <x:v>职位限定专业、学历、届别等；在读非应届不能默认报名练手。</x:v>
      </x:c>
      <x:c r="T10" s="11" t="str">
        <x:v>参考10月报名、11或12月笔试；确认缴费、准考证、专业科目另核。</x:v>
      </x:c>
      <x:c r="U10" s="11" t="str">
        <x:v>研二下学期确定路线、暑假做基础训练；按官方大纲选科。</x:v>
      </x:c>
      <x:c r="V10" s="11" t="str"/>
      <x:c r="W10" s="11" t="str">
        <x:v>国家公务员局2026公告政府转载：https://www.beijing.gov.cn/fuwu/bmfw/sy/jrts/202510/t20251014_4222416.html</x:v>
      </x:c>
    </x:row>
    <x:row r="11" ht="85" customHeight="1">
      <x:c r="A11" s="2" t="str">
        <x:v>就业</x:v>
      </x:c>
      <x:c r="B11" s="11" t="str">
        <x:v>广东省考</x:v>
      </x:c>
      <x:c r="C11" s="11" t="str">
        <x:v>研三为主</x:v>
      </x:c>
      <x:c r="D11" s="11" t="n">
        <x:v>4</x:v>
      </x:c>
      <x:c r="E11" s="11" t="str">
        <x:v>年度变动；仅监测</x:v>
      </x:c>
      <x:c r="F11" s="27" t="str">
        <x:v>关</x:v>
      </x:c>
      <x:c r="G11" s="27" t="str">
        <x:v>关</x:v>
      </x:c>
      <x:c r="H11" s="27" t="str">
        <x:v>关</x:v>
      </x:c>
      <x:c r="I11" s="27" t="str"/>
      <x:c r="J11" s="27" t="str"/>
      <x:c r="K11" s="27" t="str"/>
      <x:c r="L11" s="27" t="str"/>
      <x:c r="M11" s="27" t="str"/>
      <x:c r="N11" s="27" t="str">
        <x:v>关</x:v>
      </x:c>
      <x:c r="O11" s="27" t="str">
        <x:v>关</x:v>
      </x:c>
      <x:c r="P11" s="27" t="str">
        <x:v>关</x:v>
      </x:c>
      <x:c r="Q11" s="27" t="str">
        <x:v>关</x:v>
      </x:c>
      <x:c r="R11" s="2"/>
      <x:c r="S11" s="11" t="str">
        <x:v>按岗位专业目录、学历学位、届别与经历核定；在读非应届不默认可报。</x:v>
      </x:c>
      <x:c r="T11" s="11" t="str">
        <x:v>近期曾有1月报/3月考，也有10月报/12月考；不可固化为春季。图中仅画关注月份。</x:v>
      </x:c>
      <x:c r="U11" s="11" t="str">
        <x:v>研三9月前备好公共科目基础和岗位资格材料。</x:v>
      </x:c>
      <x:c r="V11" s="11" t="str"/>
      <x:c r="W11" s="11" t="str">
        <x:v>广东组织工作网不同年度公告：https://www.gdzz.gov.cn/gwygz/lypytzgg/content/post_22223.html；https://www.gdzz.gov.cn/tzgg/content/mpost_24016.html</x:v>
      </x:c>
    </x:row>
    <x:row r="12" ht="85" customHeight="1">
      <x:c r="A12" s="2" t="str">
        <x:v>就业</x:v>
      </x:c>
      <x:c r="B12" s="11" t="str">
        <x:v>广东及其他省份选调</x:v>
      </x:c>
      <x:c r="C12" s="11" t="str">
        <x:v>研三；研二核资格</x:v>
      </x:c>
      <x:c r="D12" s="11" t="n">
        <x:v>4</x:v>
      </x:c>
      <x:c r="E12" s="11" t="str">
        <x:v>年度/省份变动</x:v>
      </x:c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>
        <x:v>关</x:v>
      </x:c>
      <x:c r="O12" s="27" t="str">
        <x:v>关</x:v>
      </x:c>
      <x:c r="P12" s="27" t="str">
        <x:v>关</x:v>
      </x:c>
      <x:c r="Q12" s="27" t="str">
        <x:v>关</x:v>
      </x:c>
      <x:c r="R12" s="2"/>
      <x:c r="S12" s="11" t="str">
        <x:v>学校、专业、培养形式、应届身份及其他资格组合按当届要求；华工学生并非自动适合所有岗位。</x:v>
      </x:c>
      <x:c r="T12" s="11" t="str">
        <x:v>近届广东12月报名/笔试；各省差异较大，学校推荐盖章截止可能更早。</x:v>
      </x:c>
      <x:c r="U12" s="11" t="str">
        <x:v>研二下学期核资格，暑假备真实成绩和荣誉/经历证明。</x:v>
      </x:c>
      <x:c r="V12" s="11" t="str"/>
      <x:c r="W12" s="11" t="str">
        <x:v>广东2026选调公告：https://www.gdzz.gov.cn/tzgg/content/post_24297.html</x:v>
      </x:c>
    </x:row>
    <x:row r="13" ht="85" customHeight="1">
      <x:c r="A13" s="2" t="str">
        <x:v>就业</x:v>
      </x:c>
      <x:c r="B13" s="11" t="str">
        <x:v>广东事业单位集中招聘</x:v>
      </x:c>
      <x:c r="C13" s="11" t="str">
        <x:v>研三为主</x:v>
      </x:c>
      <x:c r="D13" s="11" t="n">
        <x:v>3</x:v>
      </x:c>
      <x:c r="E13" s="11" t="str">
        <x:v>近期公告参考</x:v>
      </x:c>
      <x:c r="F13" s="27" t="str">
        <x:v>关</x:v>
      </x:c>
      <x:c r="G13" s="27" t="str">
        <x:v>报</x:v>
      </x:c>
      <x:c r="H13" s="27" t="str">
        <x:v>考</x:v>
      </x:c>
      <x:c r="I13" s="27" t="str"/>
      <x:c r="J13" s="27" t="str"/>
      <x:c r="K13" s="27" t="str"/>
      <x:c r="L13" s="27" t="str"/>
      <x:c r="M13" s="27" t="str"/>
      <x:c r="N13" s="27" t="str"/>
      <x:c r="O13" s="27" t="str"/>
      <x:c r="P13" s="27" t="str"/>
      <x:c r="Q13" s="27" t="str"/>
      <x:c r="R13" s="2"/>
      <x:c r="S13" s="11" t="str">
        <x:v>岗位专业、证书、届别不同；报名后可能还需单独确认参加笔试。</x:v>
      </x:c>
      <x:c r="T13" s="11" t="str">
        <x:v>近期1月公告、2月报名和笔试确认、3月笔试；当届如变更需更新。</x:v>
      </x:c>
      <x:c r="U13" s="11" t="str">
        <x:v>寒假前备材料；报名、确认、打印分别设提醒。</x:v>
      </x:c>
      <x:c r="V13" s="11" t="str"/>
      <x:c r="W13" s="11" t="str">
        <x:v>广东2026公告：https://www.gdzz.gov.cn/gbgz/sydwrsgl/content/mpost_24573.html；笔试：https://hrss.gd.gov.cn/zwgk/sydwzp/zpgg/content/post_4856733.html</x:v>
      </x:c>
    </x:row>
    <x:row r="14" ht="85" customHeight="1">
      <x:c r="A14" s="2" t="str">
        <x:v>就业</x:v>
      </x:c>
      <x:c r="B14" s="11" t="str">
        <x:v>事业单位单招/国企滚动岗</x:v>
      </x:c>
      <x:c r="C14" s="11" t="str">
        <x:v>研三为主</x:v>
      </x:c>
      <x:c r="D14" s="11" t="n">
        <x:v>3</x:v>
      </x:c>
      <x:c r="E14" s="11" t="str">
        <x:v>全年滚动</x:v>
      </x:c>
      <x:c r="F14" s="27" t="str">
        <x:v>关</x:v>
      </x:c>
      <x:c r="G14" s="27" t="str">
        <x:v>关</x:v>
      </x:c>
      <x:c r="H14" s="27" t="str">
        <x:v>关</x:v>
      </x:c>
      <x:c r="I14" s="27" t="str">
        <x:v>关</x:v>
      </x:c>
      <x:c r="J14" s="27" t="str">
        <x:v>关</x:v>
      </x:c>
      <x:c r="K14" s="27" t="str">
        <x:v>关</x:v>
      </x:c>
      <x:c r="L14" s="27" t="str">
        <x:v>关</x:v>
      </x:c>
      <x:c r="M14" s="27" t="str">
        <x:v>关</x:v>
      </x:c>
      <x:c r="N14" s="27" t="str">
        <x:v>关</x:v>
      </x:c>
      <x:c r="O14" s="27" t="str">
        <x:v>关</x:v>
      </x:c>
      <x:c r="P14" s="27" t="str">
        <x:v>关</x:v>
      </x:c>
      <x:c r="Q14" s="27" t="str">
        <x:v>关</x:v>
      </x:c>
      <x:c r="R14" s="2"/>
      <x:c r="S14" s="11" t="str">
        <x:v>按单位和岗位资格；可能笔试、业务考核或直接面试。</x:v>
      </x:c>
      <x:c r="T14" s="11" t="str">
        <x:v>无统一考试月；集团、分公司、研究院各自发布，不套用单一企业日程。</x:v>
      </x:c>
      <x:c r="U14" s="11" t="str">
        <x:v>建立目标单位清单和每周查询时段，保留科研成果与作品材料。</x:v>
      </x:c>
      <x:c r="V14" s="11" t="str"/>
      <x:c r="W14" s="11" t="str">
        <x:v>国务院国资委招聘栏：https://wap.sasac.gov.cn/n2588035/n2588325/n2588350/index.html</x:v>
      </x:c>
    </x:row>
    <x:row r="15" ht="85" customHeight="1">
      <x:c r="A15" s="2" t="str">
        <x:v>就业</x:v>
      </x:c>
      <x:c r="B15" s="11" t="str">
        <x:v>银行秋季校园招聘</x:v>
      </x:c>
      <x:c r="C15" s="11" t="str">
        <x:v>研三秋季</x:v>
      </x:c>
      <x:c r="D15" s="11" t="n">
        <x:v>2</x:v>
      </x:c>
      <x:c r="E15" s="11" t="str">
        <x:v>企业实例参考</x:v>
      </x:c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>
        <x:v>关</x:v>
      </x:c>
      <x:c r="N15" s="27" t="str">
        <x:v>报/考</x:v>
      </x:c>
      <x:c r="O15" s="27" t="str">
        <x:v>报/考</x:v>
      </x:c>
      <x:c r="P15" s="27" t="str">
        <x:v>考</x:v>
      </x:c>
      <x:c r="Q15" s="27" t="str"/>
      <x:c r="R15" s="2"/>
      <x:c r="S15" s="11" t="str">
        <x:v>核毕业届别、专业和岗位要求；部分技术岗向非金融专业开放。</x:v>
      </x:c>
      <x:c r="T15" s="11" t="str">
        <x:v>9–10月重点网申，9–11月预留分批测评；测评可能早于网申总截止。</x:v>
      </x:c>
      <x:c r="U15" s="11" t="str">
        <x:v>暑假准备岗位版简历、笔试基础；及时查邮件短信。</x:v>
      </x:c>
      <x:c r="V15" s="11" t="str"/>
      <x:c r="W15" s="11" t="str">
        <x:v>中国银行2026届公告：https://www.boc.cn/aboutboc/bi4/202509/t20250905_25484753.html</x:v>
      </x:c>
    </x:row>
    <x:row r="16" ht="85" customHeight="1">
      <x:c r="A16" s="2" t="str">
        <x:v>就业</x:v>
      </x:c>
      <x:c r="B16" s="11" t="str">
        <x:v>银行春招/国企补招</x:v>
      </x:c>
      <x:c r="C16" s="11" t="str">
        <x:v>研三春季</x:v>
      </x:c>
      <x:c r="D16" s="11" t="n">
        <x:v>1</x:v>
      </x:c>
      <x:c r="E16" s="11" t="str">
        <x:v>企业分别发布</x:v>
      </x:c>
      <x:c r="F16" s="27" t="str">
        <x:v>关</x:v>
      </x:c>
      <x:c r="G16" s="27" t="str">
        <x:v>报</x:v>
      </x:c>
      <x:c r="H16" s="27" t="str">
        <x:v>报</x:v>
      </x:c>
      <x:c r="I16" s="27" t="str">
        <x:v>报</x:v>
      </x:c>
      <x:c r="J16" s="27" t="str"/>
      <x:c r="K16" s="27" t="str"/>
      <x:c r="L16" s="27" t="str"/>
      <x:c r="M16" s="27" t="str"/>
      <x:c r="N16" s="27" t="str"/>
      <x:c r="O16" s="27" t="str"/>
      <x:c r="P16" s="27" t="str"/>
      <x:c r="Q16" s="27" t="str"/>
      <x:c r="R16" s="2"/>
      <x:c r="S16" s="11" t="str">
        <x:v>按企业应届身份与毕业证取得时点要求。</x:v>
      </x:c>
      <x:c r="T16" s="11" t="str">
        <x:v>参考2–4月网申、之后分批笔面试；国企有独立日程。</x:v>
      </x:c>
      <x:c r="U16" s="11" t="str">
        <x:v>与论文送审同时排期，岗位优先级清晰。</x:v>
      </x:c>
      <x:c r="V16" s="11" t="str"/>
      <x:c r="W16" s="11" t="str">
        <x:v>中国银行2026春招：https://www.boc.cn/aboutboc/bi4/202603/t20260311_25654053.html</x:v>
      </x:c>
    </x:row>
    <x:row r="17" ht="85" customHeight="1">
      <x:c r="A17" s="2" t="str">
        <x:v>就业</x:v>
      </x:c>
      <x:c r="B17" s="11" t="str">
        <x:v>军队文职统一招考</x:v>
      </x:c>
      <x:c r="C17" s="11" t="str">
        <x:v>研三为主</x:v>
      </x:c>
      <x:c r="D17" s="11" t="n">
        <x:v>4</x:v>
      </x:c>
      <x:c r="E17" s="11" t="str">
        <x:v>近期统一批参考</x:v>
      </x:c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>
        <x:v>关</x:v>
      </x:c>
      <x:c r="P17" s="27" t="str">
        <x:v>报</x:v>
      </x:c>
      <x:c r="Q17" s="27" t="str">
        <x:v>考</x:v>
      </x:c>
      <x:c r="R17" s="2"/>
      <x:c r="S17" s="11" t="str">
        <x:v>学历、专业、年龄、资格、身体及政治考核依岗位；不等同军官招录。</x:v>
      </x:c>
      <x:c r="T17" s="11" t="str">
        <x:v>近期管理/专业技术统一批11月报名、12月笔试；技能类和免笔试批另查。</x:v>
      </x:c>
      <x:c r="U17" s="11" t="str">
        <x:v>研二末先核岗位，报名、缴费选点、准考证分别记录。</x:v>
      </x:c>
      <x:c r="V17" s="11" t="str"/>
      <x:c r="W17" s="11" t="str">
        <x:v>中国军网2026招考公告：https://www.81.cn/yw_208727/16419353.html；批次以军队人才网为准。</x:v>
      </x:c>
    </x:row>
    <x:row r="18" ht="85" customHeight="1">
      <x:c r="A18" s="2" t="str">
        <x:v>项目</x:v>
      </x:c>
      <x:c r="B18" s="11" t="str">
        <x:v>百步梯：申报通知与资格</x:v>
      </x:c>
      <x:c r="C18" s="11" t="str">
        <x:v>研一优先核实</x:v>
      </x:c>
      <x:c r="D18" s="11" t="n">
        <x:v>2</x:v>
      </x:c>
      <x:c r="E18" s="11" t="str">
        <x:v>建议监测；当年待核</x:v>
      </x:c>
      <x:c r="F18" s="27" t="str"/>
      <x:c r="G18" s="27" t="str"/>
      <x:c r="H18" s="27" t="str"/>
      <x:c r="I18" s="27" t="str"/>
      <x:c r="J18" s="27" t="str"/>
      <x:c r="K18" s="27" t="str"/>
      <x:c r="L18" s="27" t="str"/>
      <x:c r="M18" s="27" t="str"/>
      <x:c r="N18" s="27" t="str">
        <x:v>关</x:v>
      </x:c>
      <x:c r="O18" s="27" t="str">
        <x:v>关</x:v>
      </x:c>
      <x:c r="P18" s="27" t="str">
        <x:v>关</x:v>
      </x:c>
      <x:c r="Q18" s="27" t="str">
        <x:v>关</x:v>
      </x:c>
      <x:c r="R18" s="2"/>
      <x:c r="S18" s="11" t="str">
        <x:v>研究生能否任负责人、毕业年级和团队要求须查当年华工通知。历史参与不构成当前资格保证。</x:v>
      </x:c>
      <x:c r="T18" s="11" t="str">
        <x:v>申请、立项、中期、结题均按正式通知或立项书；秋季只是建议监测，不能当固定申报期。</x:v>
      </x:c>
      <x:c r="U18" s="11" t="str">
        <x:v>提前6–8周备选题、导师意见、团队、可行性和预算。</x:v>
      </x:c>
      <x:c r="V18" s="11" t="str"/>
      <x:c r="W18" s="11" t="str">
        <x:v>华工2023项目结题通知（2024发布）：https://www2.scut.edu.cn/jtxy/2024/0304/c37904a538344/page.htm；团委：https://www2.scut.edu.cn/youth/</x:v>
      </x:c>
    </x:row>
    <x:row r="19" ht="85" customHeight="1">
      <x:c r="A19" s="2" t="str">
        <x:v>项目</x:v>
      </x:c>
      <x:c r="B19" s="11" t="str">
        <x:v>研究生创新基金/竞赛资助</x:v>
      </x:c>
      <x:c r="C19" s="11" t="str">
        <x:v>研一/研二关注</x:v>
      </x:c>
      <x:c r="D19" s="11" t="n">
        <x:v>2</x:v>
      </x:c>
      <x:c r="E19" s="11" t="str">
        <x:v>历史参考；现行待核</x:v>
      </x:c>
      <x:c r="F19" s="27" t="str"/>
      <x:c r="G19" s="27" t="str"/>
      <x:c r="H19" s="27" t="str"/>
      <x:c r="I19" s="27" t="str"/>
      <x:c r="J19" s="27" t="str"/>
      <x:c r="K19" s="27" t="str"/>
      <x:c r="L19" s="27" t="str"/>
      <x:c r="M19" s="27" t="str"/>
      <x:c r="N19" s="27" t="str"/>
      <x:c r="O19" s="27" t="str">
        <x:v>关</x:v>
      </x:c>
      <x:c r="P19" s="27" t="str">
        <x:v>关</x:v>
      </x:c>
      <x:c r="Q19" s="27" t="str">
        <x:v>关</x:v>
      </x:c>
      <x:c r="R19" s="2"/>
      <x:c r="S19" s="11" t="str">
        <x:v>先核本次资助范围、非毕业年级限制、是否全日制及重复资助规则。</x:v>
      </x:c>
      <x:c r="T19" s="11" t="str">
        <x:v>历史项目有前一年申报支持次年比赛的情况；创新基金与竞赛资助可能为同一体系，不当成可重复领资助。</x:v>
      </x:c>
      <x:c r="U19" s="11" t="str">
        <x:v>参赛前确认资助渠道，备计划预算，赛后按规定提交总结。</x:v>
      </x:c>
      <x:c r="V19" s="11" t="str"/>
      <x:c r="W19" s="11" t="str">
        <x:v>华工2022竞赛项目旧通知：https://www2.scut.edu.cn/physics/2021/1210/c14088a454161/page.htm；手册社会实践书88页。</x:v>
      </x:c>
    </x:row>
    <x:row r="20" ht="85" customHeight="1">
      <x:c r="A20" s="2" t="str">
        <x:v>项目</x:v>
      </x:c>
      <x:c r="B20" s="11" t="str">
        <x:v>硕士校院际/导师交流项目</x:v>
      </x:c>
      <x:c r="C20" s="11" t="str">
        <x:v>研一至研二</x:v>
      </x:c>
      <x:c r="D20" s="11" t="n">
        <x:v>6</x:v>
      </x:c>
      <x:c r="E20" s="11" t="str">
        <x:v>项目分别通知</x:v>
      </x:c>
      <x:c r="F20" s="27" t="str">
        <x:v>关</x:v>
      </x:c>
      <x:c r="G20" s="27" t="str">
        <x:v>关</x:v>
      </x:c>
      <x:c r="H20" s="27" t="str">
        <x:v>关</x:v>
      </x:c>
      <x:c r="I20" s="27" t="str">
        <x:v>关</x:v>
      </x:c>
      <x:c r="J20" s="27" t="str">
        <x:v>关</x:v>
      </x:c>
      <x:c r="K20" s="27" t="str">
        <x:v>关</x:v>
      </x:c>
      <x:c r="L20" s="27" t="str">
        <x:v>关</x:v>
      </x:c>
      <x:c r="M20" s="27" t="str">
        <x:v>关</x:v>
      </x:c>
      <x:c r="N20" s="27" t="str">
        <x:v>关</x:v>
      </x:c>
      <x:c r="O20" s="27" t="str">
        <x:v>关</x:v>
      </x:c>
      <x:c r="P20" s="27" t="str">
        <x:v>关</x:v>
      </x:c>
      <x:c r="Q20" s="27" t="str">
        <x:v>关</x:v>
      </x:c>
      <x:c r="R20" s="2"/>
      <x:c r="S20" s="11" t="str">
        <x:v>项目是否招硕士、语言和经费要求逐项核对；博士专项资助不能套用。</x:v>
      </x:c>
      <x:c r="T20" s="11" t="str">
        <x:v>无统一申请月份。接收邀请、校内审批、行前培训与返校手续分别安排。</x:v>
      </x:c>
      <x:c r="U20" s="11" t="str">
        <x:v>提前4–6个月联系导师与接收方，避免项目结束晚于毕业答辩批次。</x:v>
      </x:c>
      <x:c r="V20" s="11" t="str"/>
      <x:c r="W20" s="11" t="str">
        <x:v>用户提供《2026研究生手册》研究生出国（境）管理规定，书49页起；具体项目简章另核。</x:v>
      </x:c>
    </x:row>
    <x:row r="21" ht="85" customHeight="1">
      <x:c r="A21" s="2" t="str">
        <x:v>项目</x:v>
      </x:c>
      <x:c r="B21" s="11" t="str">
        <x:v>广东省攀登计划</x:v>
      </x:c>
      <x:c r="C21" s="11" t="str">
        <x:v>研一优先</x:v>
      </x:c>
      <x:c r="D21" s="11" t="n">
        <x:v>3</x:v>
      </x:c>
      <x:c r="E21" s="11" t="str">
        <x:v>秋冬监测；当批待核</x:v>
      </x:c>
      <x:c r="F21" s="27" t="str">
        <x:v>关</x:v>
      </x:c>
      <x:c r="G21" s="27" t="str">
        <x:v>关</x:v>
      </x:c>
      <x:c r="H21" s="27" t="str">
        <x:v>关</x:v>
      </x:c>
      <x:c r="I21" s="27" t="str"/>
      <x:c r="J21" s="27" t="str"/>
      <x:c r="K21" s="27" t="str"/>
      <x:c r="L21" s="27" t="str"/>
      <x:c r="M21" s="27" t="str"/>
      <x:c r="N21" s="27" t="str">
        <x:v>关</x:v>
      </x:c>
      <x:c r="O21" s="27" t="str">
        <x:v>关</x:v>
      </x:c>
      <x:c r="P21" s="27" t="str">
        <x:v>关</x:v>
      </x:c>
      <x:c r="Q21" s="27" t="str">
        <x:v>关</x:v>
      </x:c>
      <x:c r="R21" s="2"/>
      <x:c r="S21" s="11" t="str">
        <x:v>近期省方案包含符合条件的全日制硕士；学校统一申报，华工内部资格和截止须核定。</x:v>
      </x:c>
      <x:c r="T21" s="11" t="str">
        <x:v>项目期2年，不能与校级百步梯混同。中期、结题和经费期限跟任务书，不固定每年同月。</x:v>
      </x:c>
      <x:c r="U21" s="11" t="str">
        <x:v>研一联系真实需求方与导师；提前2–3个月准备；研二后新任负责人须评估毕业前完成可能性。</x:v>
      </x:c>
      <x:c r="V21" s="11" t="str"/>
      <x:c r="W21" s="11" t="str">
        <x:v>省2026方案高校官方转发：https://science.sysu.edu.cn/node/1173；其校内截止不可套给华工。</x:v>
      </x:c>
    </x:row>
    <x:row r="22" ht="85" customHeight="1">
      <x:c r="A22" s="2" t="str">
        <x:v>项目</x:v>
      </x:c>
      <x:c r="B22" s="11" t="str">
        <x:v>寒暑期社会实践基地</x:v>
      </x:c>
      <x:c r="C22" s="11" t="str">
        <x:v>研一暑假/研二寒假</x:v>
      </x:c>
      <x:c r="D22" s="11" t="n">
        <x:v>2</x:v>
      </x:c>
      <x:c r="E22" s="11" t="str">
        <x:v>假期实践；招募待通知</x:v>
      </x:c>
      <x:c r="F22" s="27" t="str">
        <x:v>关</x:v>
      </x:c>
      <x:c r="G22" s="27" t="str"/>
      <x:c r="H22" s="27" t="str"/>
      <x:c r="I22" s="27" t="str">
        <x:v>关</x:v>
      </x:c>
      <x:c r="J22" s="27" t="str">
        <x:v>关</x:v>
      </x:c>
      <x:c r="K22" s="27" t="str">
        <x:v>关</x:v>
      </x:c>
      <x:c r="L22" s="27" t="str">
        <x:v>关</x:v>
      </x:c>
      <x:c r="M22" s="27" t="str">
        <x:v>关</x:v>
      </x:c>
      <x:c r="N22" s="27" t="str"/>
      <x:c r="O22" s="27" t="str"/>
      <x:c r="P22" s="27" t="str">
        <x:v>关</x:v>
      </x:c>
      <x:c r="Q22" s="27" t="str">
        <x:v>关</x:v>
      </x:c>
      <x:c r="R22" s="2"/>
      <x:c r="S22" s="11" t="str">
        <x:v>学校/学院组织认可的基地可作为学硕实践路径；导师/实验室合作或普通求职实习不自动等同。</x:v>
      </x:c>
      <x:c r="T22" s="11" t="str">
        <x:v>手册规定寒暑假组织、实践约1个月；具体招募和考核日期由组织方通知。</x:v>
      </x:c>
      <x:c r="U22" s="11" t="str">
        <x:v>寒假前1–2个月、暑假前2–3个月查项目；实践后及时完成盖章考核。</x:v>
      </x:c>
      <x:c r="V22" s="11" t="str"/>
      <x:c r="W22" s="11" t="str">
        <x:v>用户提供《2026研究生手册》书88–90页/PDF47–48页。</x:v>
      </x:c>
    </x:row>
    <x:row r="23" ht="85" customHeight="1">
      <x:c r="A23" s="2" t="str">
        <x:v>证书</x:v>
      </x:c>
      <x:c r="B23" s="11" t="str">
        <x:v>大学英语四/六级笔试</x:v>
      </x:c>
      <x:c r="C23" s="11" t="str">
        <x:v>研一/研二优先</x:v>
      </x:c>
      <x:c r="D23" s="11" t="n">
        <x:v>3</x:v>
      </x:c>
      <x:c r="E23" s="11" t="str">
        <x:v>报名参考；考月常设</x:v>
      </x:c>
      <x:c r="F23" s="27" t="str"/>
      <x:c r="G23" s="27" t="str">
        <x:v>关</x:v>
      </x:c>
      <x:c r="H23" s="27" t="str">
        <x:v>报</x:v>
      </x:c>
      <x:c r="I23" s="27" t="str"/>
      <x:c r="J23" s="27" t="str"/>
      <x:c r="K23" s="27" t="str">
        <x:v>考</x:v>
      </x:c>
      <x:c r="L23" s="27" t="str"/>
      <x:c r="M23" s="27" t="str">
        <x:v>关</x:v>
      </x:c>
      <x:c r="N23" s="27" t="str">
        <x:v>报</x:v>
      </x:c>
      <x:c r="O23" s="27" t="str"/>
      <x:c r="P23" s="27" t="str"/>
      <x:c r="Q23" s="27" t="str">
        <x:v>考</x:v>
      </x:c>
      <x:c r="R23" s="2"/>
      <x:c r="S23" s="11" t="str">
        <x:v>在校/在籍且符合校内课程条件；六级另需四级≥425分等。不是统一硕士毕业条件。</x:v>
      </x:c>
      <x:c r="T23" s="11" t="str">
        <x:v>通常3、9月关注校内报名，6、12月笔试。具体报名起止、准考证和考位由当届通知确定。</x:v>
      </x:c>
      <x:c r="U23" s="11" t="str">
        <x:v>8–10周备考；已达目标分数者可不刷分。</x:v>
      </x:c>
      <x:c r="V23" s="11" t="str"/>
      <x:c r="W23" s="11" t="str">
        <x:v>华工2026下半年CET通知：https://www.scut.edu.cn/new/2026/0909/c236a60511/page.htm；考试院：https://cet.neea.cn/</x:v>
      </x:c>
    </x:row>
    <x:row r="24" ht="85" customHeight="1">
      <x:c r="A24" s="2" t="str">
        <x:v>证书</x:v>
      </x:c>
      <x:c r="B24" s="11" t="str">
        <x:v>大学英语四/六级口试</x:v>
      </x:c>
      <x:c r="C24" s="11" t="str">
        <x:v>按需要选考</x:v>
      </x:c>
      <x:c r="D24" s="11" t="n">
        <x:v>2</x:v>
      </x:c>
      <x:c r="E24" s="11" t="str">
        <x:v>参考月份；当届核对</x:v>
      </x:c>
      <x:c r="F24" s="27" t="str"/>
      <x:c r="G24" s="27" t="str">
        <x:v>关</x:v>
      </x:c>
      <x:c r="H24" s="27" t="str">
        <x:v>报</x:v>
      </x:c>
      <x:c r="I24" s="27" t="str"/>
      <x:c r="J24" s="27" t="str">
        <x:v>考</x:v>
      </x:c>
      <x:c r="K24" s="27" t="str"/>
      <x:c r="L24" s="27" t="str"/>
      <x:c r="M24" s="27" t="str">
        <x:v>关</x:v>
      </x:c>
      <x:c r="N24" s="27" t="str">
        <x:v>报</x:v>
      </x:c>
      <x:c r="O24" s="27" t="str"/>
      <x:c r="P24" s="27" t="str">
        <x:v>考</x:v>
      </x:c>
      <x:c r="Q24" s="27" t="str"/>
      <x:c r="R24" s="2"/>
      <x:c r="S24" s="11" t="str">
        <x:v>需完成当次同级笔试报名并另报口试；不是笔试必参加的前置环节。</x:v>
      </x:c>
      <x:c r="T24" s="11" t="str">
        <x:v>参考5、11月口试；报名通常与校内笔试报名衔接，打印与考点另核。</x:v>
      </x:c>
      <x:c r="U24" s="11" t="str">
        <x:v>4–6周练口语；先确认口语成绩的实际用途。</x:v>
      </x:c>
      <x:c r="V24" s="11" t="str"/>
      <x:c r="W24" s="11" t="str">
        <x:v>华工2026下半年CET通知：https://www.scut.edu.cn/new/2026/0909/c236a60511/page.htm；考试院：https://cet.neea.cn/</x:v>
      </x:c>
    </x:row>
    <x:row r="25" ht="85" customHeight="1">
      <x:c r="A25" s="2" t="str">
        <x:v>证书</x:v>
      </x:c>
      <x:c r="B25" s="11" t="str">
        <x:v>软考：上/下半年</x:v>
      </x:c>
      <x:c r="C25" s="11" t="str">
        <x:v>研一/研二可选</x:v>
      </x:c>
      <x:c r="D25" s="11" t="n">
        <x:v>4</x:v>
      </x:c>
      <x:c r="E25" s="11" t="str">
        <x:v>年度计划可能调整</x:v>
      </x:c>
      <x:c r="F25" s="27" t="str"/>
      <x:c r="G25" s="27" t="str"/>
      <x:c r="H25" s="27" t="str">
        <x:v>关</x:v>
      </x:c>
      <x:c r="I25" s="27" t="str">
        <x:v>关</x:v>
      </x:c>
      <x:c r="J25" s="27" t="str">
        <x:v>考</x:v>
      </x:c>
      <x:c r="K25" s="27" t="str"/>
      <x:c r="L25" s="27" t="str"/>
      <x:c r="M25" s="27" t="str">
        <x:v>关</x:v>
      </x:c>
      <x:c r="N25" s="27" t="str">
        <x:v>关</x:v>
      </x:c>
      <x:c r="O25" s="27" t="str">
        <x:v>考</x:v>
      </x:c>
      <x:c r="P25" s="27" t="str">
        <x:v>考</x:v>
      </x:c>
      <x:c r="Q25" s="27" t="str"/>
      <x:c r="R25" s="2"/>
      <x:c r="S25" s="11" t="str">
        <x:v>信息技术相关岗位可选；不限制学历资历年龄，但具体开考资格、批次和报考地须核定。</x:v>
      </x:c>
      <x:c r="T25" s="11" t="str">
        <x:v>3–4月、8–9月查报名；春季考试参考5月，秋季历史出现10月或11月，不是要参加两个月考试。</x:v>
      </x:c>
      <x:c r="U25" s="11" t="str">
        <x:v>先选资格与级别；安排3–4个月学习和上机模拟，不默认报高级。</x:v>
      </x:c>
      <x:c r="V25" s="11" t="str"/>
      <x:c r="W25" s="11" t="str">
        <x:v>广州人社2026软考问答：https://rsj.gz.gov.cn/ywzt/rcgz/rsks/bmtz/content/post_10736860.html；此处秋季多月仅为参考窗口。</x:v>
      </x:c>
    </x:row>
    <x:row r="26" ht="85" customHeight="1">
      <x:c r="A26" s="2" t="str">
        <x:v>证书</x:v>
      </x:c>
      <x:c r="B26" s="11" t="str">
        <x:v>教师资格：笔试</x:v>
      </x:c>
      <x:c r="C26" s="11" t="str">
        <x:v>教育方向可选</x:v>
      </x:c>
      <x:c r="D26" s="11" t="n">
        <x:v>3</x:v>
      </x:c>
      <x:c r="E26" s="11" t="str">
        <x:v>近期公告参考</x:v>
      </x:c>
      <x:c r="F26" s="27" t="str">
        <x:v>报</x:v>
      </x:c>
      <x:c r="G26" s="27" t="str"/>
      <x:c r="H26" s="27" t="str">
        <x:v>考</x:v>
      </x:c>
      <x:c r="I26" s="27" t="str"/>
      <x:c r="J26" s="27" t="str"/>
      <x:c r="K26" s="27" t="str">
        <x:v>关</x:v>
      </x:c>
      <x:c r="L26" s="27" t="str">
        <x:v>报</x:v>
      </x:c>
      <x:c r="M26" s="27" t="str"/>
      <x:c r="N26" s="27" t="str">
        <x:v>考</x:v>
      </x:c>
      <x:c r="O26" s="27" t="str"/>
      <x:c r="P26" s="27" t="str"/>
      <x:c r="Q26" s="27" t="str">
        <x:v>关</x:v>
      </x:c>
      <x:c r="R26" s="2"/>
      <x:c r="S26" s="11" t="str">
        <x:v>中小学/幼儿园方向；核学历、学籍地/户籍地/居住证等条件。不是高校教师资格或教师招聘考试。</x:v>
      </x:c>
      <x:c r="T26" s="11" t="str">
        <x:v>上半年1月报名、3月考试；下半年7月报名、9月考试是近期参考，每轮再核省公告。</x:v>
      </x:c>
      <x:c r="U26" s="11" t="str">
        <x:v>先定学段学科，提前2–3个月复习。</x:v>
      </x:c>
      <x:c r="V26" s="11" t="str"/>
      <x:c r="W26" s="11" t="str">
        <x:v>广东2026上半年：https://edu.dg.gov.cn/gkmlpt/content/4/4483/post_4483197.html；下半年：https://szeb.sz.gov.cn/szzkw/zkgg/skxx/content/post_12869910.html</x:v>
      </x:c>
    </x:row>
    <x:row r="27" ht="85" customHeight="1">
      <x:c r="A27" s="2" t="str">
        <x:v>证书</x:v>
      </x:c>
      <x:c r="B27" s="11" t="str">
        <x:v>教师资格：面试</x:v>
      </x:c>
      <x:c r="C27" s="11" t="str">
        <x:v>笔试通过后</x:v>
      </x:c>
      <x:c r="D27" s="11" t="n">
        <x:v>2</x:v>
      </x:c>
      <x:c r="E27" s="11" t="str">
        <x:v>近期公告参考</x:v>
      </x:c>
      <x:c r="F27" s="27" t="str"/>
      <x:c r="G27" s="27" t="str"/>
      <x:c r="H27" s="27" t="str">
        <x:v>关</x:v>
      </x:c>
      <x:c r="I27" s="27" t="str">
        <x:v>报</x:v>
      </x:c>
      <x:c r="J27" s="27" t="str">
        <x:v>考</x:v>
      </x:c>
      <x:c r="K27" s="27" t="str"/>
      <x:c r="L27" s="27" t="str"/>
      <x:c r="M27" s="27" t="str"/>
      <x:c r="N27" s="27" t="str"/>
      <x:c r="O27" s="27" t="str">
        <x:v>关</x:v>
      </x:c>
      <x:c r="P27" s="27" t="str">
        <x:v>报</x:v>
      </x:c>
      <x:c r="Q27" s="27" t="str">
        <x:v>考</x:v>
      </x:c>
      <x:c r="R27" s="2"/>
      <x:c r="S27" s="11" t="str">
        <x:v>相应笔试科目合格且在有效期内；学科/学段及报考地条件按公告。</x:v>
      </x:c>
      <x:c r="T27" s="11" t="str">
        <x:v>参考4/11月报名、5/12月面试。合格后还需教师资格认定。</x:v>
      </x:c>
      <x:c r="U27" s="11" t="str">
        <x:v>1–2个月练试讲、教学设计与结构化问答。</x:v>
      </x:c>
      <x:c r="V27" s="11" t="str"/>
      <x:c r="W27" s="11" t="str">
        <x:v>教育考试院2026通知：https://ntce.neea.edu.cn/xhtml1/report/2604/11-1.htm；下半年参考：https://www.neea.edu.cn/xhtml1/report/2606/41-1.htm</x:v>
      </x:c>
    </x:row>
    <x:row r="28" ht="85" customHeight="1">
      <x:c r="A28" s="2" t="str">
        <x:v>证书</x:v>
      </x:c>
      <x:c r="B28" s="11" t="str">
        <x:v>教师资格认定</x:v>
      </x:c>
      <x:c r="C28" s="11" t="str">
        <x:v>笔面试合格后</x:v>
      </x:c>
      <x:c r="D28" s="11" t="n">
        <x:v>2</x:v>
      </x:c>
      <x:c r="E28" s="11" t="str">
        <x:v>分批办理；非考试</x:v>
      </x:c>
      <x:c r="F28" s="27" t="str"/>
      <x:c r="G28" s="27" t="str"/>
      <x:c r="H28" s="27" t="str">
        <x:v>关</x:v>
      </x:c>
      <x:c r="I28" s="27" t="str">
        <x:v>关</x:v>
      </x:c>
      <x:c r="J28" s="27" t="str">
        <x:v>关</x:v>
      </x:c>
      <x:c r="K28" s="27" t="str">
        <x:v>关</x:v>
      </x:c>
      <x:c r="L28" s="27" t="str"/>
      <x:c r="M28" s="27" t="str"/>
      <x:c r="N28" s="27" t="str">
        <x:v>关</x:v>
      </x:c>
      <x:c r="O28" s="27" t="str">
        <x:v>关</x:v>
      </x:c>
      <x:c r="P28" s="27" t="str"/>
      <x:c r="Q28" s="27" t="str"/>
      <x:c r="R28" s="2"/>
      <x:c r="S28" s="11" t="str">
        <x:v>需有效合格证明/免试资格、学历、普通话、体检及认定受理条件。</x:v>
      </x:c>
      <x:c r="T28" s="11" t="str">
        <x:v>广东近期有春季两批和秋季批次；月份格仅为查询办理通知。认定通过方取得资格证。</x:v>
      </x:c>
      <x:c r="U28" s="11" t="str">
        <x:v>提前备普通话和学历材料，体检按指定机构和有效期办理。</x:v>
      </x:c>
      <x:c r="V28" s="11" t="str"/>
      <x:c r="W28" s="11" t="str">
        <x:v>广东2026认定：https://www.jszg.edu.cn/pages/html/107/a7744106958594.html；广州流程：https://jyj.gz.gov.cn/yw2/xxhjsfw/zgrd/content/post_10739839.html</x:v>
      </x:c>
    </x:row>
    <x:row r="29" ht="85" customHeight="1">
      <x:c r="A29" s="2" t="str">
        <x:v>证书</x:v>
      </x:c>
      <x:c r="B29" s="11" t="str">
        <x:v>普通话水平测试</x:v>
      </x:c>
      <x:c r="C29" s="11" t="str">
        <x:v>按岗位要求</x:v>
      </x:c>
      <x:c r="D29" s="11" t="n">
        <x:v>2</x:v>
      </x:c>
      <x:c r="E29" s="11" t="str">
        <x:v>全年分站点预约</x:v>
      </x:c>
      <x:c r="F29" s="27" t="str">
        <x:v>关</x:v>
      </x:c>
      <x:c r="G29" s="27" t="str">
        <x:v>关</x:v>
      </x:c>
      <x:c r="H29" s="27" t="str">
        <x:v>关</x:v>
      </x:c>
      <x:c r="I29" s="27" t="str">
        <x:v>关</x:v>
      </x:c>
      <x:c r="J29" s="27" t="str">
        <x:v>关</x:v>
      </x:c>
      <x:c r="K29" s="27" t="str">
        <x:v>关</x:v>
      </x:c>
      <x:c r="L29" s="27" t="str">
        <x:v>关</x:v>
      </x:c>
      <x:c r="M29" s="27" t="str">
        <x:v>关</x:v>
      </x:c>
      <x:c r="N29" s="27" t="str">
        <x:v>关</x:v>
      </x:c>
      <x:c r="O29" s="27" t="str">
        <x:v>关</x:v>
      </x:c>
      <x:c r="P29" s="27" t="str">
        <x:v>关</x:v>
      </x:c>
      <x:c r="Q29" s="27" t="str">
        <x:v>关</x:v>
      </x:c>
      <x:c r="R29" s="2"/>
      <x:c r="S29" s="11" t="str">
        <x:v>教师、播音等按用途核等级；社会人员可自愿报名，不是所有测试站每月均有场次。</x:v>
      </x:c>
      <x:c r="T29" s="11" t="str">
        <x:v>全年查各站点批次，报名与考试日期由测试站公告确定。</x:v>
      </x:c>
      <x:c r="U29" s="11" t="str">
        <x:v>提前1–2个月练习，教资认定者另留成绩发布时间。</x:v>
      </x:c>
      <x:c r="V29" s="11" t="str"/>
      <x:c r="W29" s="11" t="str">
        <x:v>教育部管理规定：https://www.moe.gov.cn/srcsite/A02/s5911/moe_621/202112/t20211209_585976.html；官方报名：https://bm.cltt.org/</x:v>
      </x:c>
    </x:row>
    <x:row r="30" ht="85" customHeight="1">
      <x:c r="A30" s="2" t="str">
        <x:v>证书</x:v>
      </x:c>
      <x:c r="B30" s="11" t="str">
        <x:v>全国计算机等级考试</x:v>
      </x:c>
      <x:c r="C30" s="11" t="str">
        <x:v>研一/研二可选</x:v>
      </x:c>
      <x:c r="D30" s="11" t="n">
        <x:v>3</x:v>
      </x:c>
      <x:c r="E30" s="11" t="str">
        <x:v>广东近期报名参考</x:v>
      </x:c>
      <x:c r="F30" s="27" t="str">
        <x:v>报</x:v>
      </x:c>
      <x:c r="G30" s="27" t="str"/>
      <x:c r="H30" s="27" t="str">
        <x:v>考</x:v>
      </x:c>
      <x:c r="I30" s="27" t="str"/>
      <x:c r="J30" s="27" t="str"/>
      <x:c r="K30" s="27" t="str">
        <x:v>报</x:v>
      </x:c>
      <x:c r="L30" s="27" t="str">
        <x:v>报</x:v>
      </x:c>
      <x:c r="M30" s="27" t="str"/>
      <x:c r="N30" s="27" t="str">
        <x:v>考</x:v>
      </x:c>
      <x:c r="O30" s="27" t="str"/>
      <x:c r="P30" s="27" t="str"/>
      <x:c r="Q30" s="27" t="str">
        <x:v>报</x:v>
      </x:c>
      <x:c r="R30" s="2"/>
      <x:c r="S30" s="11" t="str">
        <x:v>不限制年龄职业学历；四级获证有对应三级条件。用于应用能力，不能代替开发项目。</x:v>
      </x:c>
      <x:c r="T30" s="11" t="str">
        <x:v>广东春季报名可能从前一年12月持续至1月；秋季6–7月报名。3、9月考试。</x:v>
      </x:c>
      <x:c r="U30" s="11" t="str">
        <x:v>按岗位选择Office或编程等科目，提前2–3个月上机练习。</x:v>
      </x:c>
      <x:c r="V30" s="11" t="str"/>
      <x:c r="W30" s="11" t="str">
        <x:v>考试院2026春季：https://www.neea.edu.cn/html1/report/2512/40-1.htm；秋季：https://www.neea.edu.cn/html1/report/2606/16-1.htm</x:v>
      </x:c>
    </x:row>
    <x:row r="31" ht="85" customHeight="1">
      <x:c r="A31" s="2" t="str">
        <x:v>证书</x:v>
      </x:c>
      <x:c r="B31" s="11" t="str">
        <x:v>CATTI翻译专业资格</x:v>
      </x:c>
      <x:c r="C31" s="11" t="str">
        <x:v>翻译/国际业务</x:v>
      </x:c>
      <x:c r="D31" s="11" t="n">
        <x:v>6</x:v>
      </x:c>
      <x:c r="E31" s="11" t="str">
        <x:v>广东近期公告参考</x:v>
      </x:c>
      <x:c r="F31" s="27" t="str"/>
      <x:c r="G31" s="27" t="str"/>
      <x:c r="H31" s="27" t="str">
        <x:v>关</x:v>
      </x:c>
      <x:c r="I31" s="27" t="str">
        <x:v>报</x:v>
      </x:c>
      <x:c r="J31" s="27" t="str"/>
      <x:c r="K31" s="27" t="str">
        <x:v>考</x:v>
      </x:c>
      <x:c r="L31" s="27" t="str"/>
      <x:c r="M31" s="27" t="str"/>
      <x:c r="N31" s="27" t="str"/>
      <x:c r="O31" s="27" t="str"/>
      <x:c r="P31" s="27" t="str"/>
      <x:c r="Q31" s="27" t="str"/>
      <x:c r="R31" s="2"/>
      <x:c r="S31" s="11" t="str">
        <x:v>核语种、口译/笔译与级别；一级有前置资格，MTI免试政策不可套给其他硕士。</x:v>
      </x:c>
      <x:c r="T31" s="11" t="str">
        <x:v>近期广东4月报名、6月考试；不要沿用旧资料中固定一年两次的安排。</x:v>
      </x:c>
      <x:c r="U31" s="11" t="str">
        <x:v>提前3–6个月练实务；它不替代院校要求的雅思/托福。</x:v>
      </x:c>
      <x:c r="V31" s="11" t="str"/>
      <x:c r="W31" s="11" t="str">
        <x:v>深圳考试院2026广东安排：https://hrss.sz.gov.cn/szksy/ztzl/zyjsks/zyjskslb/fyky1/zxksxx_89262/content/post_12733277.html</x:v>
      </x:c>
    </x:row>
    <x:row r="32" ht="85" customHeight="1">
      <x:c r="A32" s="2" t="str">
        <x:v>证书</x:v>
      </x:c>
      <x:c r="B32" s="11" t="str">
        <x:v>雅思 IELTS</x:v>
      </x:c>
      <x:c r="C32" s="11" t="str">
        <x:v>留学/指定用途</x:v>
      </x:c>
      <x:c r="D32" s="11" t="n">
        <x:v>6</x:v>
      </x:c>
      <x:c r="E32" s="11" t="str">
        <x:v>全年按考位预约</x:v>
      </x:c>
      <x:c r="F32" s="27" t="str">
        <x:v>关</x:v>
      </x:c>
      <x:c r="G32" s="27" t="str">
        <x:v>关</x:v>
      </x:c>
      <x:c r="H32" s="27" t="str">
        <x:v>关</x:v>
      </x:c>
      <x:c r="I32" s="27" t="str">
        <x:v>关</x:v>
      </x:c>
      <x:c r="J32" s="27" t="str">
        <x:v>关</x:v>
      </x:c>
      <x:c r="K32" s="27" t="str">
        <x:v>关</x:v>
      </x:c>
      <x:c r="L32" s="27" t="str">
        <x:v>关</x:v>
      </x:c>
      <x:c r="M32" s="27" t="str">
        <x:v>关</x:v>
      </x:c>
      <x:c r="N32" s="27" t="str">
        <x:v>关</x:v>
      </x:c>
      <x:c r="O32" s="27" t="str">
        <x:v>关</x:v>
      </x:c>
      <x:c r="P32" s="27" t="str">
        <x:v>关</x:v>
      </x:c>
      <x:c r="Q32" s="27" t="str">
        <x:v>关</x:v>
      </x:c>
      <x:c r="R32" s="2"/>
      <x:c r="S32" s="11" t="str">
        <x:v>先核接收机构、考试类型与有效期；不默认所有类型均被接受。</x:v>
      </x:c>
      <x:c r="T32" s="11" t="str">
        <x:v>全年查考位，以申请材料截止倒推初考及补考。月格不表示每月都需备考。</x:v>
      </x:c>
      <x:c r="U32" s="11" t="str">
        <x:v>建议首考放在材料截止前3–4个月，备考3–6个月。</x:v>
      </x:c>
      <x:c r="V32" s="11" t="str"/>
      <x:c r="W32" s="11" t="str">
        <x:v>官方类型：https://ielts.org/take-a-test/test-types；官方报名：https://ielts.neea.cn/</x:v>
      </x:c>
    </x:row>
    <x:row r="33" ht="85" customHeight="1">
      <x:c r="A33" s="2" t="str">
        <x:v>证书</x:v>
      </x:c>
      <x:c r="B33" s="11" t="str">
        <x:v>托福 TOEFL iBT</x:v>
      </x:c>
      <x:c r="C33" s="11" t="str">
        <x:v>留学/指定用途</x:v>
      </x:c>
      <x:c r="D33" s="11" t="n">
        <x:v>6</x:v>
      </x:c>
      <x:c r="E33" s="11" t="str">
        <x:v>全年按考位预约</x:v>
      </x:c>
      <x:c r="F33" s="27" t="str">
        <x:v>关</x:v>
      </x:c>
      <x:c r="G33" s="27" t="str">
        <x:v>关</x:v>
      </x:c>
      <x:c r="H33" s="27" t="str">
        <x:v>关</x:v>
      </x:c>
      <x:c r="I33" s="27" t="str">
        <x:v>关</x:v>
      </x:c>
      <x:c r="J33" s="27" t="str">
        <x:v>关</x:v>
      </x:c>
      <x:c r="K33" s="27" t="str">
        <x:v>关</x:v>
      </x:c>
      <x:c r="L33" s="27" t="str">
        <x:v>关</x:v>
      </x:c>
      <x:c r="M33" s="27" t="str">
        <x:v>关</x:v>
      </x:c>
      <x:c r="N33" s="27" t="str">
        <x:v>关</x:v>
      </x:c>
      <x:c r="O33" s="27" t="str">
        <x:v>关</x:v>
      </x:c>
      <x:c r="P33" s="27" t="str">
        <x:v>关</x:v>
      </x:c>
      <x:c r="Q33" s="27" t="str">
        <x:v>关</x:v>
      </x:c>
      <x:c r="R33" s="2"/>
      <x:c r="S33" s="11" t="str">
        <x:v>成绩有效期2年；接收方对考试形式、单项或拼分另有条件。</x:v>
      </x:c>
      <x:c r="T33" s="11" t="str">
        <x:v>全年查考位，按申请截止倒排。不能把学校接收截止当考试最后一天。</x:v>
      </x:c>
      <x:c r="U33" s="11" t="str">
        <x:v>预留重考及送分缓冲；使用当前考试版本的材料。</x:v>
      </x:c>
      <x:c r="V33" s="11" t="str"/>
      <x:c r="W33" s="11" t="str">
        <x:v>ETS官方：https://www.ets.org/content/ets-org/cn/zh/home/test-takers/ibt/about/testing-options.html；报名：https://toefl.neea.cn/</x:v>
      </x:c>
    </x:row>
    <x:row r="34" ht="85" customHeight="1">
      <x:c r="A34" s="2" t="str">
        <x:v>证书</x:v>
      </x:c>
      <x:c r="B34" s="11" t="str">
        <x:v>注册会计师 CPA</x:v>
      </x:c>
      <x:c r="C34" s="11" t="str">
        <x:v>财会/审计可选</x:v>
      </x:c>
      <x:c r="D34" s="11" t="n">
        <x:v>6</x:v>
      </x:c>
      <x:c r="E34" s="11" t="str">
        <x:v>近期公告参考</x:v>
      </x:c>
      <x:c r="F34" s="27" t="str"/>
      <x:c r="G34" s="27" t="str"/>
      <x:c r="H34" s="27" t="str">
        <x:v>关</x:v>
      </x:c>
      <x:c r="I34" s="27" t="str">
        <x:v>报</x:v>
      </x:c>
      <x:c r="J34" s="27" t="str"/>
      <x:c r="K34" s="27" t="str">
        <x:v>报</x:v>
      </x:c>
      <x:c r="L34" s="27" t="str"/>
      <x:c r="M34" s="27" t="str">
        <x:v>考</x:v>
      </x:c>
      <x:c r="N34" s="27" t="str"/>
      <x:c r="O34" s="27" t="str"/>
      <x:c r="P34" s="27" t="str"/>
      <x:c r="Q34" s="27" t="str"/>
      <x:c r="R34" s="2"/>
      <x:c r="S34" s="11" t="str">
        <x:v>专业阶段需符合学历或职称等条件；综合阶段须先获专业阶段合格证。通过考试不等于取得执业资格。</x:v>
      </x:c>
      <x:c r="T34" s="11" t="str">
        <x:v>参考4月报名、6月交费确认、8月考试；「报」包含分开的缴费环节，不要遗漏。</x:v>
      </x:c>
      <x:c r="U34" s="11" t="str">
        <x:v>按能力选择科目，建议4–6个月或更长，不默认一年全科。</x:v>
      </x:c>
      <x:c r="V34" s="11" t="str"/>
      <x:c r="W34" s="11" t="str">
        <x:v>中注协2026简章：https://www.cicpa.org.cn/xxfb/tzgg/202603/W020260311354851382981.pdf</x:v>
      </x:c>
    </x:row>
    <x:row r="35" ht="85" customHeight="1">
      <x:c r="A35" s="2" t="str">
        <x:v>证书</x:v>
      </x:c>
      <x:c r="B35" s="11" t="str">
        <x:v>初级会计资格</x:v>
      </x:c>
      <x:c r="C35" s="11" t="str">
        <x:v>财务入门可选</x:v>
      </x:c>
      <x:c r="D35" s="11" t="n">
        <x:v>4</x:v>
      </x:c>
      <x:c r="E35" s="11" t="str">
        <x:v>近期公告参考</x:v>
      </x:c>
      <x:c r="F35" s="27" t="str">
        <x:v>报</x:v>
      </x:c>
      <x:c r="G35" s="27" t="str"/>
      <x:c r="H35" s="27" t="str"/>
      <x:c r="I35" s="27" t="str"/>
      <x:c r="J35" s="27" t="str">
        <x:v>考</x:v>
      </x:c>
      <x:c r="K35" s="27" t="str"/>
      <x:c r="L35" s="27" t="str"/>
      <x:c r="M35" s="27" t="str"/>
      <x:c r="N35" s="27" t="str"/>
      <x:c r="O35" s="27" t="str"/>
      <x:c r="P35" s="27" t="str"/>
      <x:c r="Q35" s="27" t="str">
        <x:v>关</x:v>
      </x:c>
      <x:c r="R35" s="2"/>
      <x:c r="S35" s="11" t="str">
        <x:v>符合学历等条件者可按公告报考；不是所有商科岗位必要条件。</x:v>
      </x:c>
      <x:c r="T35" s="11" t="str">
        <x:v>近期1月报名、5月考试；通常还需在报名前完成信息采集。</x:v>
      </x:c>
      <x:c r="U35" s="11" t="str">
        <x:v>提前3–4个月学习；与CPA择需安排，避免为数量重复考证。</x:v>
      </x:c>
      <x:c r="V35" s="11" t="str"/>
      <x:c r="W35" s="11" t="str">
        <x:v>财政部2026考务安排：https://m.mof.gov.cn/czxw/202511/t20251127_3977584.htm</x:v>
      </x:c>
    </x:row>
    <x:row r="36" ht="85" customHeight="1">
      <x:c r="A36" s="2" t="str">
        <x:v>证书</x:v>
      </x:c>
      <x:c r="B36" s="11" t="str">
        <x:v>法律职业资格</x:v>
      </x:c>
      <x:c r="C36" s="11" t="str">
        <x:v>法律方向且符合资格</x:v>
      </x:c>
      <x:c r="D36" s="11" t="n">
        <x:v>6</x:v>
      </x:c>
      <x:c r="E36" s="11" t="str">
        <x:v>近期公告参考</x:v>
      </x:c>
      <x:c r="F36" s="27" t="str"/>
      <x:c r="G36" s="27" t="str"/>
      <x:c r="H36" s="27" t="str"/>
      <x:c r="I36" s="27" t="str"/>
      <x:c r="J36" s="27" t="str">
        <x:v>关</x:v>
      </x:c>
      <x:c r="K36" s="27" t="str">
        <x:v>报</x:v>
      </x:c>
      <x:c r="L36" s="27" t="str"/>
      <x:c r="M36" s="27" t="str"/>
      <x:c r="N36" s="27" t="str">
        <x:v>报/考</x:v>
      </x:c>
      <x:c r="O36" s="27" t="str">
        <x:v>考</x:v>
      </x:c>
      <x:c r="P36" s="27" t="str"/>
      <x:c r="Q36" s="27" t="str"/>
      <x:c r="R36" s="2"/>
      <x:c r="S36" s="11" t="str">
        <x:v>专业、学历、学籍取得时间与放宽条件差异较大。非法学硕士不因在读身份自动符合资格，先查当届公告。</x:v>
      </x:c>
      <x:c r="T36" s="11" t="str">
        <x:v>参考6月客观题报名、9月客观题；通过后9月另报主观题，10月主观题。</x:v>
      </x:c>
      <x:c r="U36" s="11" t="str">
        <x:v>先核资格再备考，建议6个月或更长；与秋招、中期冲突需取舍。</x:v>
      </x:c>
      <x:c r="V36" s="11" t="str"/>
      <x:c r="W36" s="11" t="str">
        <x:v>司法部2026公告说明：https://www.moj.gov.cn/pub/sfbgwapp/bnywapp/202606/t20260605_536066.html；政策问答：https://legalinfo.moj.gov.cn/zhfxfzzx/fzzxyw/202606/t20260605_536079.html</x:v>
      </x:c>
    </x:row>
    <x:row r="37" ht="85" customHeight="1">
      <x:c r="A37" s="2" t="str">
        <x:v>竞赛</x:v>
      </x:c>
      <x:c r="B37" s="11" t="str">
        <x:v>中国国际大学生创新大赛</x:v>
      </x:c>
      <x:c r="C37" s="11" t="str">
        <x:v>研一储备/研二主攻</x:v>
      </x:c>
      <x:c r="D37" s="11" t="n">
        <x:v>6</x:v>
      </x:c>
      <x:c r="E37" s="11" t="str">
        <x:v>年度赛程变动；监测</x:v>
      </x:c>
      <x:c r="F37" s="27" t="str">
        <x:v>关</x:v>
      </x:c>
      <x:c r="G37" s="27" t="str">
        <x:v>关</x:v>
      </x:c>
      <x:c r="H37" s="27" t="str">
        <x:v>关</x:v>
      </x:c>
      <x:c r="I37" s="27" t="str">
        <x:v>关</x:v>
      </x:c>
      <x:c r="J37" s="27" t="str">
        <x:v>关</x:v>
      </x:c>
      <x:c r="K37" s="27" t="str">
        <x:v>关</x:v>
      </x:c>
      <x:c r="L37" s="27" t="str">
        <x:v>关</x:v>
      </x:c>
      <x:c r="M37" s="27" t="str">
        <x:v>关</x:v>
      </x:c>
      <x:c r="N37" s="27" t="str">
        <x:v>关</x:v>
      </x:c>
      <x:c r="O37" s="27" t="str">
        <x:v>关</x:v>
      </x:c>
      <x:c r="P37" s="27" t="str">
        <x:v>关</x:v>
      </x:c>
      <x:c r="Q37" s="27" t="str"/>
      <x:c r="R37" s="2"/>
      <x:c r="S37" s="11" t="str">
        <x:v>核赛道、年龄、学籍基准日和团队；学校推荐条件与全国规则同时满足。</x:v>
      </x:c>
      <x:c r="T37" s="11" t="str">
        <x:v>最新核验一届全国报名在8–9月、初复赛8–10月、总决赛11月；未来未固定，故月格仅监测，校内选拔可能更早。</x:v>
      </x:c>
      <x:c r="U37" s="11" t="str">
        <x:v>提前4–6个月准备真实需求、原型/证据、计划书与路演。</x:v>
      </x:c>
      <x:c r="V37" s="11" t="str"/>
      <x:c r="W37" s="11" t="str">
        <x:v>教育部2026通知：https://hudong.moe.gov.cn/srcsite/A08/s5672/202607/t20260731_1445670.html；不将该届日期直接复制为每年截止。</x:v>
      </x:c>
    </x:row>
    <x:row r="38" ht="85" customHeight="1">
      <x:c r="A38" s="2" t="str">
        <x:v>竞赛</x:v>
      </x:c>
      <x:c r="B38" s="11" t="str">
        <x:v>挑战杯：主赛/创业计划赛</x:v>
      </x:c>
      <x:c r="C38" s="11" t="str">
        <x:v>研一积累/研二主攻</x:v>
      </x:c>
      <x:c r="D38" s="11" t="n">
        <x:v>6</x:v>
      </x:c>
      <x:c r="E38" s="11" t="str">
        <x:v>届次不同；监测</x:v>
      </x:c>
      <x:c r="F38" s="27" t="str">
        <x:v>关</x:v>
      </x:c>
      <x:c r="G38" s="27" t="str">
        <x:v>关</x:v>
      </x:c>
      <x:c r="H38" s="27" t="str">
        <x:v>关</x:v>
      </x:c>
      <x:c r="I38" s="27" t="str">
        <x:v>关</x:v>
      </x:c>
      <x:c r="J38" s="27" t="str">
        <x:v>关</x:v>
      </x:c>
      <x:c r="K38" s="27" t="str"/>
      <x:c r="L38" s="27" t="str"/>
      <x:c r="M38" s="27" t="str"/>
      <x:c r="N38" s="27" t="str">
        <x:v>关</x:v>
      </x:c>
      <x:c r="O38" s="27" t="str">
        <x:v>关</x:v>
      </x:c>
      <x:c r="P38" s="27" t="str">
        <x:v>关</x:v>
      </x:c>
      <x:c r="Q38" s="27" t="str">
        <x:v>关</x:v>
      </x:c>
      <x:c r="R38" s="2"/>
      <x:c r="S38" s="11" t="str">
        <x:v>先分清课外学术科技作品与创业计划，按当届组别和学校推荐要求核资格。</x:v>
      </x:c>
      <x:c r="T38" s="11" t="str">
        <x:v>华工历史有前一年10月启动校选、次年5月省终审的案例；不可固化为以后固定月份。</x:v>
      </x:c>
      <x:c r="U38" s="11" t="str">
        <x:v>研究作品提前6–12个月积累，创业项目提前4–6个月验证。</x:v>
      </x:c>
      <x:c r="V38" s="11" t="str"/>
      <x:c r="W38" s="11" t="str">
        <x:v>华工2026省赛新闻：https://www.scut.edu.cn/new/2026/0526/c443a60034/page.htm</x:v>
      </x:c>
    </x:row>
    <x:row r="39" ht="85" customHeight="1">
      <x:c r="A39" s="2" t="str">
        <x:v>竞赛</x:v>
      </x:c>
      <x:c r="B39" s="11" t="str">
        <x:v>挑战杯揭榜挂帅</x:v>
      </x:c>
      <x:c r="C39" s="11" t="str">
        <x:v>课题匹配者</x:v>
      </x:c>
      <x:c r="D39" s="11" t="n">
        <x:v>3</x:v>
      </x:c>
      <x:c r="E39" s="11" t="str">
        <x:v>近期赛程参考</x:v>
      </x:c>
      <x:c r="F39" s="27" t="str"/>
      <x:c r="G39" s="27" t="str"/>
      <x:c r="H39" s="27" t="str"/>
      <x:c r="I39" s="27" t="str">
        <x:v>关</x:v>
      </x:c>
      <x:c r="J39" s="27" t="str">
        <x:v>报</x:v>
      </x:c>
      <x:c r="K39" s="27" t="str">
        <x:v>报</x:v>
      </x:c>
      <x:c r="L39" s="27" t="str"/>
      <x:c r="M39" s="27" t="str"/>
      <x:c r="N39" s="27" t="str">
        <x:v>赛</x:v>
      </x:c>
      <x:c r="O39" s="27" t="str">
        <x:v>赛</x:v>
      </x:c>
      <x:c r="P39" s="27" t="str">
        <x:v>赛</x:v>
      </x:c>
      <x:c r="Q39" s="27" t="str">
        <x:v>赛</x:v>
      </x:c>
      <x:c r="R39" s="2"/>
      <x:c r="S39" s="11" t="str">
        <x:v>按本届榜题、学生身份、年龄和团队规则；在职研究生等须特别核资格。</x:v>
      </x:c>
      <x:c r="T39" s="11" t="str">
        <x:v>近期5–6月报名、5–9月攻关、9–10月初审、11–12月终审；作品截止按榜题，不保证下一届同月。</x:v>
      </x:c>
      <x:c r="U39" s="11" t="str">
        <x:v>先核设备、技术积累与导师支持；避免与论文重复开新方向。</x:v>
      </x:c>
      <x:c r="V39" s="11" t="str"/>
      <x:c r="W39" s="11" t="str">
        <x:v>主办方2026通知：https://www.tiaozhanbei.net/article/15836/</x:v>
      </x:c>
    </x:row>
    <x:row r="40" ht="85" customHeight="1">
      <x:c r="A40" s="2" t="str">
        <x:v>竞赛</x:v>
      </x:c>
      <x:c r="B40" s="11" t="str">
        <x:v>研究生数学建模竞赛</x:v>
      </x:c>
      <x:c r="C40" s="11" t="str">
        <x:v>研一/研二可选</x:v>
      </x:c>
      <x:c r="D40" s="11" t="n">
        <x:v>3</x:v>
      </x:c>
      <x:c r="E40" s="11" t="str">
        <x:v>近期赛程参考</x:v>
      </x:c>
      <x:c r="F40" s="27" t="str"/>
      <x:c r="G40" s="27" t="str"/>
      <x:c r="H40" s="27" t="str"/>
      <x:c r="I40" s="27" t="str">
        <x:v>关</x:v>
      </x:c>
      <x:c r="J40" s="27" t="str">
        <x:v>关</x:v>
      </x:c>
      <x:c r="K40" s="27" t="str">
        <x:v>报</x:v>
      </x:c>
      <x:c r="L40" s="27" t="str">
        <x:v>报</x:v>
      </x:c>
      <x:c r="M40" s="27" t="str">
        <x:v>报</x:v>
      </x:c>
      <x:c r="N40" s="27" t="str">
        <x:v>报/赛</x:v>
      </x:c>
      <x:c r="O40" s="27" t="str"/>
      <x:c r="P40" s="27" t="str"/>
      <x:c r="Q40" s="27" t="str"/>
      <x:c r="R40" s="2"/>
      <x:c r="S40" s="11" t="str">
        <x:v>在读/当年秋季入学研究生；近期每队3人、专业不限，跨校规则按当届。</x:v>
      </x:c>
      <x:c r="T40" s="11" t="str">
        <x:v>近期6–9月报名、9月比赛；学校审核、缴费和文件提交各有截止。</x:v>
      </x:c>
      <x:c r="U40" s="11" t="str">
        <x:v>提前8–12周组队训练，前4–6周做完整模拟，留出比赛连续时间。</x:v>
      </x:c>
      <x:c r="V40" s="11" t="str"/>
      <x:c r="W40" s="11" t="str">
        <x:v>研创网2026邀请函：https://cpipc.acge.org.cn/cw/contestNews/detail/4/2c9080189dcfa24e019dddacc24a1314</x:v>
      </x:c>
    </x:row>
    <x:row r="41" ht="85" customHeight="1">
      <x:c r="A41" s="2" t="str">
        <x:v>竞赛</x:v>
      </x:c>
      <x:c r="B41" s="11" t="str">
        <x:v>研究生电子设计竞赛</x:v>
      </x:c>
      <x:c r="C41" s="11" t="str">
        <x:v>电子/信息/硬件方向</x:v>
      </x:c>
      <x:c r="D41" s="11" t="n">
        <x:v>4</x:v>
      </x:c>
      <x:c r="E41" s="11" t="str">
        <x:v>近期报名参考</x:v>
      </x:c>
      <x:c r="F41" s="27" t="str"/>
      <x:c r="G41" s="27" t="str">
        <x:v>关</x:v>
      </x:c>
      <x:c r="H41" s="27" t="str">
        <x:v>关</x:v>
      </x:c>
      <x:c r="I41" s="27" t="str">
        <x:v>报</x:v>
      </x:c>
      <x:c r="J41" s="27" t="str">
        <x:v>报</x:v>
      </x:c>
      <x:c r="K41" s="27" t="str">
        <x:v>报</x:v>
      </x:c>
      <x:c r="L41" s="27" t="str"/>
      <x:c r="M41" s="27" t="str"/>
      <x:c r="N41" s="27" t="str"/>
      <x:c r="O41" s="27" t="str"/>
      <x:c r="P41" s="27" t="str"/>
      <x:c r="Q41" s="27" t="str"/>
      <x:c r="R41" s="2"/>
      <x:c r="S41" s="11" t="str">
        <x:v>核技术赛或商业计划书专项赛及团队规则；要有设备和原型支持。</x:v>
      </x:c>
      <x:c r="T41" s="11" t="str">
        <x:v>近期4–6月报名与作品提交。各分赛区/全国决赛日期另核，图上不虚填。</x:v>
      </x:c>
      <x:c r="U41" s="11" t="str">
        <x:v>提前3–4个月备原型，前6周测试、视频和技术文档。</x:v>
      </x:c>
      <x:c r="V41" s="11" t="str"/>
      <x:c r="W41" s="11" t="str">
        <x:v>研创网2026报名说明：https://cpipc.acge.org.cn/cw/contestNews/detail/6/2c9080179d4d9dbe019d671507b717f5?page=1</x:v>
      </x:c>
    </x:row>
    <x:row r="42" ht="27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7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</x:sheetData>
  <x:conditionalFormatting sqref="F7:Q41">
    <x:cfRule type="containsText" dxfId="89" priority="1" operator="containsText" text="关"/>
    <x:cfRule type="containsText" dxfId="90" priority="2" operator="containsText" text="报"/>
    <x:cfRule type="containsText" dxfId="91" priority="3" operator="containsText" text="考"/>
    <x:cfRule type="containsText" dxfId="92" priority="4" operator="containsText" text="赛"/>
  </x:conditionalFormatting>
  <x:dataValidations count="1">
    <x:dataValidation type="list" sqref="F7:Q41">
      <x:formula1>"关,报,考,赛,报/考,报/赛,关/报,关/考,关/赛,"</x:formula1>
    </x:dataValidation>
  </x:dataValidations>
  <x:pageMargins left="0.7" right="0.7" top="0.75" bottom="0.75" header="0.3" footer="0.3"/>
</x:worksheet>
</file>